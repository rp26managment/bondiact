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rint Planning" sheetId="1" state="visible" r:id="rId3"/>
    <sheet name="Gantt Chart" sheetId="2" state="visible" r:id="rId4"/>
    <sheet name="Dependencias" sheetId="3" state="visible" r:id="rId5"/>
    <sheet name="Entregables" sheetId="4" state="visible" r:id="rId6"/>
    <sheet name="Velocity" sheetId="5" state="visible" r:id="rId7"/>
  </sheets>
  <definedNames>
    <definedName function="false" hidden="true" localSheetId="2" name="_xlnm._FilterDatabase" vbProcedure="false">Dependencias!$A$3:$G$22</definedName>
    <definedName function="false" hidden="true" localSheetId="3" name="_xlnm._FilterDatabase" vbProcedure="false">Entregables!$A$3:$F$11</definedName>
    <definedName function="false" hidden="true" localSheetId="0" name="_xlnm._FilterDatabase" vbProcedure="false">'Sprint Planning'!$A$4:$J$43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<sst xmlns="http://schemas.openxmlformats.org/spreadsheetml/2006/main" count="612" uniqueCount="326">
  <si>
    <t xml:space="preserve">BondiaCT Control Tower - Sprint Planning &amp; Task Tracker</t>
  </si>
  <si>
    <t xml:space="preserve">Proyecto: Validacion Previa de Pedimentos Aduanales | bondiact.io | Actualizado: 6/Abr/2026</t>
  </si>
  <si>
    <t xml:space="preserve">Sprint</t>
  </si>
  <si>
    <t xml:space="preserve">Task ID</t>
  </si>
  <si>
    <t xml:space="preserve">Tarea</t>
  </si>
  <si>
    <t xml:space="preserve">Tipo</t>
  </si>
  <si>
    <t xml:space="preserve">Archivo(s) Principal(es)</t>
  </si>
  <si>
    <t xml:space="preserve">Status</t>
  </si>
  <si>
    <t xml:space="preserve">Inicio</t>
  </si>
  <si>
    <t xml:space="preserve">Cierre</t>
  </si>
  <si>
    <t xml:space="preserve">Story Points</t>
  </si>
  <si>
    <t xml:space="preserve">Notas</t>
  </si>
  <si>
    <t xml:space="preserve">S1</t>
  </si>
  <si>
    <t xml:space="preserve">S1-01</t>
  </si>
  <si>
    <t xml:space="preserve">Sistema CSS Variables inicial</t>
  </si>
  <si>
    <t xml:space="preserve">Infra</t>
  </si>
  <si>
    <t xml:space="preserve">animations.css, index.css</t>
  </si>
  <si>
    <t xml:space="preserve">DONE</t>
  </si>
  <si>
    <t xml:space="preserve">Mar 2026</t>
  </si>
  <si>
    <t xml:space="preserve">Variables :root + 3 temas</t>
  </si>
  <si>
    <t xml:space="preserve">S1-02</t>
  </si>
  <si>
    <t xml:space="preserve">Tematizar Header</t>
  </si>
  <si>
    <t xml:space="preserve">UI</t>
  </si>
  <si>
    <t xml:space="preserve">Header.tsx</t>
  </si>
  <si>
    <t xml:space="preserve">CSS vars aplicadas</t>
  </si>
  <si>
    <t xml:space="preserve">S1-03</t>
  </si>
  <si>
    <t xml:space="preserve">Tematizar BottomNavigation</t>
  </si>
  <si>
    <t xml:space="preserve">BottomNavigation.tsx</t>
  </si>
  <si>
    <t xml:space="preserve">S2</t>
  </si>
  <si>
    <t xml:space="preserve">S2-01</t>
  </si>
  <si>
    <t xml:space="preserve">CustomizePanel tematizado</t>
  </si>
  <si>
    <t xml:space="preserve">CustomizePanel.tsx</t>
  </si>
  <si>
    <t xml:space="preserve">S2-02</t>
  </si>
  <si>
    <t xml:space="preserve">DashboardToolbar tematizado</t>
  </si>
  <si>
    <t xml:space="preserve">DashboardToolbar.tsx</t>
  </si>
  <si>
    <t xml:space="preserve">S2-03</t>
  </si>
  <si>
    <t xml:space="preserve">Kanban components</t>
  </si>
  <si>
    <t xml:space="preserve">KanbanCard.tsx, KanbanColumnHeader.tsx</t>
  </si>
  <si>
    <t xml:space="preserve">Labels IMP/A1/EXP</t>
  </si>
  <si>
    <t xml:space="preserve">S2-04</t>
  </si>
  <si>
    <t xml:space="preserve">ConsultaLIGIE tematizado</t>
  </si>
  <si>
    <t xml:space="preserve">ConsultaLIGIE.tsx</t>
  </si>
  <si>
    <t xml:space="preserve">S2-05</t>
  </si>
  <si>
    <t xml:space="preserve">ExpedienteDigital tematizado</t>
  </si>
  <si>
    <t xml:space="preserve">ExpedienteDigital.tsx</t>
  </si>
  <si>
    <t xml:space="preserve">S2-06</t>
  </si>
  <si>
    <t xml:space="preserve">NuevoPedimento tematizado</t>
  </si>
  <si>
    <t xml:space="preserve">NuevoPedimento.tsx</t>
  </si>
  <si>
    <t xml:space="preserve">S3</t>
  </si>
  <si>
    <t xml:space="preserve">S3-01</t>
  </si>
  <si>
    <t xml:space="preserve">Dashboard stats + kanban + tabla</t>
  </si>
  <si>
    <t xml:space="preserve">Feature</t>
  </si>
  <si>
    <t xml:space="preserve">Dashboard.tsx</t>
  </si>
  <si>
    <t xml:space="preserve">Recharts integration</t>
  </si>
  <si>
    <t xml:space="preserve">S3-02</t>
  </si>
  <si>
    <t xml:space="preserve">Reportes tematizado</t>
  </si>
  <si>
    <t xml:space="preserve">Reportes.tsx</t>
  </si>
  <si>
    <t xml:space="preserve">S4</t>
  </si>
  <si>
    <t xml:space="preserve">S4-01</t>
  </si>
  <si>
    <t xml:space="preserve">Fix TS2353 :hover ilegal</t>
  </si>
  <si>
    <t xml:space="preserve">Bug Fix</t>
  </si>
  <si>
    <t xml:space="preserve">DashboardROI.tsx</t>
  </si>
  <si>
    <t xml:space="preserve">28/Mar</t>
  </si>
  <si>
    <t xml:space="preserve">style prop no soporta pseudo-clases</t>
  </si>
  <si>
    <t xml:space="preserve">S4-02</t>
  </si>
  <si>
    <t xml:space="preserve">GanttChartView completo</t>
  </si>
  <si>
    <t xml:space="preserve">GanttChartView.tsx</t>
  </si>
  <si>
    <t xml:space="preserve">Toggle, header, celdas, badges, gridlines</t>
  </si>
  <si>
    <t xml:space="preserve">S4-03</t>
  </si>
  <si>
    <t xml:space="preserve">ValidarPedimento UI</t>
  </si>
  <si>
    <t xml:space="preserve">ValidarPedimento.tsx</t>
  </si>
  <si>
    <t xml:space="preserve">FindingCard, barra accion, preview, filters</t>
  </si>
  <si>
    <t xml:space="preserve">S4-04</t>
  </si>
  <si>
    <t xml:space="preserve">Recharts + MiniGanttChart</t>
  </si>
  <si>
    <t xml:space="preserve">exportGradient</t>
  </si>
  <si>
    <t xml:space="preserve">S4-05</t>
  </si>
  <si>
    <t xml:space="preserve">TEMAS CONGELADOS</t>
  </si>
  <si>
    <t xml:space="preserve">Decision</t>
  </si>
  <si>
    <t xml:space="preserve">Contraste 10% luminoso optimizado</t>
  </si>
  <si>
    <t xml:space="preserve">S5</t>
  </si>
  <si>
    <t xml:space="preserve">S5-01</t>
  </si>
  <si>
    <t xml:space="preserve">LIGIE Engine</t>
  </si>
  <si>
    <t xml:space="preserve">ligieService.ts, ligie.ts</t>
  </si>
  <si>
    <t xml:space="preserve">29/Mar</t>
  </si>
  <si>
    <t xml:space="preserve">30/Mar</t>
  </si>
  <si>
    <t xml:space="preserve">resolveUnidadAbreviatura, FraccionLIGIE interface</t>
  </si>
  <si>
    <t xml:space="preserve">S5-16</t>
  </si>
  <si>
    <t xml:space="preserve">DME Parser 501/505/506</t>
  </si>
  <si>
    <t xml:space="preserve">dmeParser.ts (legacy), dataStageParser.ts</t>
  </si>
  <si>
    <t xml:space="preserve">Parser oficial Data Stage</t>
  </si>
  <si>
    <t xml:space="preserve">S5-17</t>
  </si>
  <si>
    <t xml:space="preserve">Regla G16 auditoria pesos</t>
  </si>
  <si>
    <t xml:space="preserve">rules-generales.js</t>
  </si>
  <si>
    <t xml:space="preserve">pesoBruto vs packing list</t>
  </si>
  <si>
    <t xml:space="preserve">S5-18</t>
  </si>
  <si>
    <t xml:space="preserve">Upgrade I10 Art.65 LA</t>
  </si>
  <si>
    <t xml:space="preserve">rules-incoterms-transporte.js</t>
  </si>
  <si>
    <t xml:space="preserve">CRITICO + Art.65/176/178 LA</t>
  </si>
  <si>
    <t xml:space="preserve">S5-19</t>
  </si>
  <si>
    <t xml:space="preserve">Semaforo Importer Monday-style</t>
  </si>
  <si>
    <t xml:space="preserve">SemaforoImporter.tsx</t>
  </si>
  <si>
    <t xml:space="preserve">S5-HF</t>
  </si>
  <si>
    <t xml:space="preserve">HOTFIX: pesoBruto, embalaje $0, UMC</t>
  </si>
  <si>
    <t xml:space="preserve">OCRParser.tsx, ligieService.ts</t>
  </si>
  <si>
    <t xml:space="preserve">Literalidad Financiera/Fisica</t>
  </si>
  <si>
    <t xml:space="preserve">S6</t>
  </si>
  <si>
    <t xml:space="preserve">S6-01</t>
  </si>
  <si>
    <t xml:space="preserve">LIGIE initFromFetch + cache</t>
  </si>
  <si>
    <t xml:space="preserve">ligieService.ts, App.tsx</t>
  </si>
  <si>
    <t xml:space="preserve">31/Mar</t>
  </si>
  <si>
    <t xml:space="preserve">init() sincrono en useEffect</t>
  </si>
  <si>
    <t xml:space="preserve">S6-02</t>
  </si>
  <si>
    <t xml:space="preserve">MXN compliance + G16 pesos</t>
  </si>
  <si>
    <t xml:space="preserve">OCRParser.tsx, ValidarPedimento.tsx</t>
  </si>
  <si>
    <t xml:space="preserve">otros_usd, pesoBrutoPackingList, pesoVolumetrico</t>
  </si>
  <si>
    <t xml:space="preserve">S6-03</t>
  </si>
  <si>
    <t xml:space="preserve">Semaforo widget + Dashboard</t>
  </si>
  <si>
    <t xml:space="preserve">SemaforoImporter.tsx, Dashboard.tsx</t>
  </si>
  <si>
    <t xml:space="preserve">CSS vars tematizado</t>
  </si>
  <si>
    <t xml:space="preserve">S6-HF</t>
  </si>
  <si>
    <t xml:space="preserve">HOTFIX: P03/P05 motor reglas + sanitizePDF</t>
  </si>
  <si>
    <t xml:space="preserve">rules-partidas.js, ReportGenerator.tsx, ligie.ts</t>
  </si>
  <si>
    <t xml:space="preserve">nico:string[], G16 ghost fix, tsc Vercel</t>
  </si>
  <si>
    <t xml:space="preserve">S7</t>
  </si>
  <si>
    <t xml:space="preserve">S7-01</t>
  </si>
  <si>
    <t xml:space="preserve">OCR real pedimentos IMP/EXP</t>
  </si>
  <si>
    <t xml:space="preserve">OCRParser.tsx</t>
  </si>
  <si>
    <t xml:space="preserve">1/Abr</t>
  </si>
  <si>
    <t xml:space="preserve">6/Abr</t>
  </si>
  <si>
    <t xml:space="preserve">Guia regex, domicilio, Tax ID, linea captura</t>
  </si>
  <si>
    <t xml:space="preserve">S7-02</t>
  </si>
  <si>
    <t xml:space="preserve">cantidad + valorAduana + paisOrigen OCR</t>
  </si>
  <si>
    <t xml:space="preserve">OCRParser.tsx, NuevoPedimento.tsx</t>
  </si>
  <si>
    <t xml:space="preserve">5/Abr</t>
  </si>
  <si>
    <t xml:space="preserve">PARTIDA_REGEX_NO_SEC fallback</t>
  </si>
  <si>
    <t xml:space="preserve">S7-03</t>
  </si>
  <si>
    <t xml:space="preserve">G06/G15/P06 false positives fix</t>
  </si>
  <si>
    <t xml:space="preserve">rules-generales.js, rules-partidas.js</t>
  </si>
  <si>
    <t xml:space="preserve">fechaEntrada, referencia, 60+ paises</t>
  </si>
  <si>
    <t xml:space="preserve">S7-04</t>
  </si>
  <si>
    <t xml:space="preserve">PDF report overlap + Latin-1</t>
  </si>
  <si>
    <t xml:space="preserve">ReportGenerator.tsx</t>
  </si>
  <si>
    <t xml:space="preserve">checkPageBreak, sanitizePDF, emojis-&gt;ASCII</t>
  </si>
  <si>
    <t xml:space="preserve">S7-05</t>
  </si>
  <si>
    <t xml:space="preserve">NuevoPedimento mapping OCR fields</t>
  </si>
  <si>
    <t xml:space="preserve">G06 referencia, G15 fecha-&gt;ISO, F01/F02</t>
  </si>
  <si>
    <t xml:space="preserve">S7-06</t>
  </si>
  <si>
    <t xml:space="preserve">Partidas table expandida PDF</t>
  </si>
  <si>
    <t xml:space="preserve">+Cant, +Pais, +ValAduana = 8 columnas</t>
  </si>
  <si>
    <t xml:space="preserve">S7-07</t>
  </si>
  <si>
    <t xml:space="preserve">P06 catalogo 60+ paises</t>
  </si>
  <si>
    <t xml:space="preserve">rules-partidas.js</t>
  </si>
  <si>
    <t xml:space="preserve">TUR,COL,ARG,CHL,PER,NLD,BEL,TWN,VNM,etc</t>
  </si>
  <si>
    <t xml:space="preserve">S8</t>
  </si>
  <si>
    <t xml:space="preserve">S8-01</t>
  </si>
  <si>
    <t xml:space="preserve">LIGIE dataset completo (fracciones+NICO+RRNA+UMC)</t>
  </si>
  <si>
    <t xml:space="preserve">ligieService.ts, public/data/</t>
  </si>
  <si>
    <t xml:space="preserve">PENDING</t>
  </si>
  <si>
    <t xml:space="preserve">Ex S7-01. window.FRACCIONES</t>
  </si>
  <si>
    <t xml:space="preserve">S8-02</t>
  </si>
  <si>
    <t xml:space="preserve">Remover PEDIMENTO_REAL fallback</t>
  </si>
  <si>
    <t xml:space="preserve">Cleanup</t>
  </si>
  <si>
    <t xml:space="preserve">Ex S7-03. cantidad OCR ya funciona</t>
  </si>
  <si>
    <t xml:space="preserve">S8-03</t>
  </si>
  <si>
    <t xml:space="preserve">Vercel infra ligie-index.js</t>
  </si>
  <si>
    <t xml:space="preserve">public/data/ligie-index.js, vite.config</t>
  </si>
  <si>
    <t xml:space="preserve">Confirmar /dist/ copia</t>
  </si>
  <si>
    <t xml:space="preserve">S8-04</t>
  </si>
  <si>
    <t xml:space="preserve">G14: fechaEmision + fechaRegistro OCR</t>
  </si>
  <si>
    <t xml:space="preserve">Solo tenemos fechaEntrada/fechaPago</t>
  </si>
  <si>
    <t xml:space="preserve">S8-05</t>
  </si>
  <si>
    <t xml:space="preserve">Modo Forense UI toggle</t>
  </si>
  <si>
    <t xml:space="preserve">Validacion vs Forense visual switch</t>
  </si>
  <si>
    <t xml:space="preserve">RESUMEN</t>
  </si>
  <si>
    <t xml:space="preserve">Total Tasks:</t>
  </si>
  <si>
    <t xml:space="preserve">Done:</t>
  </si>
  <si>
    <t xml:space="preserve">Pending:</t>
  </si>
  <si>
    <t xml:space="preserve">Story Points Total:</t>
  </si>
  <si>
    <t xml:space="preserve">SP Completados:</t>
  </si>
  <si>
    <t xml:space="preserve">BondiaCT - Gantt Chart (Sprint Timeline)</t>
  </si>
  <si>
    <t xml:space="preserve">Nombre</t>
  </si>
  <si>
    <t xml:space="preserve">SP</t>
  </si>
  <si>
    <t xml:space="preserve">Mar W1</t>
  </si>
  <si>
    <t xml:space="preserve">Mar W2</t>
  </si>
  <si>
    <t xml:space="preserve">Mar W3</t>
  </si>
  <si>
    <t xml:space="preserve">Mar W4</t>
  </si>
  <si>
    <t xml:space="preserve">Mar W5</t>
  </si>
  <si>
    <t xml:space="preserve">Abr W1</t>
  </si>
  <si>
    <t xml:space="preserve">Abr W2</t>
  </si>
  <si>
    <t xml:space="preserve">CSS Variables &amp; Base UI</t>
  </si>
  <si>
    <t xml:space="preserve">CLOSED</t>
  </si>
  <si>
    <t xml:space="preserve">Componentes principales</t>
  </si>
  <si>
    <t xml:space="preserve">Dashboard &amp; Reportes</t>
  </si>
  <si>
    <t xml:space="preserve">Gantt, Recharts, Temas Frozen</t>
  </si>
  <si>
    <t xml:space="preserve">LIGIE Engine + DME + Reglas</t>
  </si>
  <si>
    <t xml:space="preserve">MXN Compliance + Semaforo</t>
  </si>
  <si>
    <t xml:space="preserve">El Escudo Dual - OCR Real</t>
  </si>
  <si>
    <t xml:space="preserve">LIGIE Full + Forense UI</t>
  </si>
  <si>
    <t xml:space="preserve">BACKLOG</t>
  </si>
  <si>
    <t xml:space="preserve">VELOCITY</t>
  </si>
  <si>
    <t xml:space="preserve">SP/Sprint (avg):</t>
  </si>
  <si>
    <t xml:space="preserve">BondiaCT - Mapa de Dependencias</t>
  </si>
  <si>
    <t xml:space="preserve">ID</t>
  </si>
  <si>
    <t xml:space="preserve">Tarea Origen</t>
  </si>
  <si>
    <t xml:space="preserve">Depende De</t>
  </si>
  <si>
    <t xml:space="preserve">Riesgo</t>
  </si>
  <si>
    <t xml:space="preserve">D-01</t>
  </si>
  <si>
    <t xml:space="preserve">S1 CSS Variables</t>
  </si>
  <si>
    <t xml:space="preserve">-</t>
  </si>
  <si>
    <t xml:space="preserve">Start</t>
  </si>
  <si>
    <t xml:space="preserve">Resuelto</t>
  </si>
  <si>
    <t xml:space="preserve">Bajo</t>
  </si>
  <si>
    <t xml:space="preserve">Fundacion de todo el sistema visual</t>
  </si>
  <si>
    <t xml:space="preserve">D-02</t>
  </si>
  <si>
    <t xml:space="preserve">S2-S3 Componentes UI</t>
  </si>
  <si>
    <t xml:space="preserve">FS</t>
  </si>
  <si>
    <t xml:space="preserve">Requiere sistema de temas funcionando</t>
  </si>
  <si>
    <t xml:space="preserve">D-03</t>
  </si>
  <si>
    <t xml:space="preserve">S4 ValidarPedimento UI</t>
  </si>
  <si>
    <t xml:space="preserve">S1-S3 Base UI</t>
  </si>
  <si>
    <t xml:space="preserve">FindingCard necesita CSS vars</t>
  </si>
  <si>
    <t xml:space="preserve">D-04</t>
  </si>
  <si>
    <t xml:space="preserve">S4 Temas CONGELADOS</t>
  </si>
  <si>
    <t xml:space="preserve">S1-S3 Iteraciones temas</t>
  </si>
  <si>
    <t xml:space="preserve">Decision: freeze tras optimizar contraste</t>
  </si>
  <si>
    <t xml:space="preserve">D-05</t>
  </si>
  <si>
    <t xml:space="preserve">S5 LIGIE Engine</t>
  </si>
  <si>
    <t xml:space="preserve">Medio</t>
  </si>
  <si>
    <t xml:space="preserve">Motor independiente, FraccionLIGIE interface</t>
  </si>
  <si>
    <t xml:space="preserve">D-06</t>
  </si>
  <si>
    <t xml:space="preserve">S5 Regla G16 pesos</t>
  </si>
  <si>
    <t xml:space="preserve">S5 OCRParser pesoBruto</t>
  </si>
  <si>
    <t xml:space="preserve">Alto</t>
  </si>
  <si>
    <t xml:space="preserve">Necesita pesoBruto del OCR extraido</t>
  </si>
  <si>
    <t xml:space="preserve">D-07</t>
  </si>
  <si>
    <t xml:space="preserve">S5 DME Parser</t>
  </si>
  <si>
    <t xml:space="preserve">dmeParser.ts=legacy, dataStageParser.ts=oficial</t>
  </si>
  <si>
    <t xml:space="preserve">D-08</t>
  </si>
  <si>
    <t xml:space="preserve">S6 MXN Compliance</t>
  </si>
  <si>
    <t xml:space="preserve">S5 LIGIE + OCRParser</t>
  </si>
  <si>
    <t xml:space="preserve">_usd campos representan MXN en UI</t>
  </si>
  <si>
    <t xml:space="preserve">D-09</t>
  </si>
  <si>
    <t xml:space="preserve">S6 LIGIE initFromFetch</t>
  </si>
  <si>
    <t xml:space="preserve">S5-01 LIGIE Engine</t>
  </si>
  <si>
    <t xml:space="preserve">CORS bloquea fetch -&gt; init() sincrono</t>
  </si>
  <si>
    <t xml:space="preserve">D-10</t>
  </si>
  <si>
    <t xml:space="preserve">S6 P03/P05 motor reglas</t>
  </si>
  <si>
    <t xml:space="preserve">S5-01 LIGIE + S6-01 init</t>
  </si>
  <si>
    <t xml:space="preserve">Claves numericas SAT, LIGIE_INDEX O(1)</t>
  </si>
  <si>
    <t xml:space="preserve">D-11</t>
  </si>
  <si>
    <t xml:space="preserve">S7 OCR real pedimentos</t>
  </si>
  <si>
    <t xml:space="preserve">S5-HF OCRParser base</t>
  </si>
  <si>
    <t xml:space="preserve">Regex rewrite completo para PDF reales</t>
  </si>
  <si>
    <t xml:space="preserve">D-12</t>
  </si>
  <si>
    <t xml:space="preserve">S7 G06/G15 fix</t>
  </si>
  <si>
    <t xml:space="preserve">S7-01 OCR referencia+fechas</t>
  </si>
  <si>
    <t xml:space="preserve">False positives sin datos OCR</t>
  </si>
  <si>
    <t xml:space="preserve">D-13</t>
  </si>
  <si>
    <t xml:space="preserve">S7 P06 paises</t>
  </si>
  <si>
    <t xml:space="preserve">S7-02 paisOrigen OCR</t>
  </si>
  <si>
    <t xml:space="preserve">Catalogo expandido 18-&gt;60+ paises</t>
  </si>
  <si>
    <t xml:space="preserve">D-14</t>
  </si>
  <si>
    <t xml:space="preserve">S7 PDF Latin-1</t>
  </si>
  <si>
    <t xml:space="preserve">S7 ReportGenerator completo</t>
  </si>
  <si>
    <t xml:space="preserve">jsPDF Helvetica solo Latin-1</t>
  </si>
  <si>
    <t xml:space="preserve">D-15</t>
  </si>
  <si>
    <t xml:space="preserve">S8-01 LIGIE dataset completo</t>
  </si>
  <si>
    <t xml:space="preserve">S6-01 LIGIE init + S8-03 Vercel infra</t>
  </si>
  <si>
    <t xml:space="preserve">Pendiente</t>
  </si>
  <si>
    <t xml:space="preserve">Necesita /dist/ confirmado + CORS resuelto</t>
  </si>
  <si>
    <t xml:space="preserve">D-16</t>
  </si>
  <si>
    <t xml:space="preserve">S8-02 Remover PEDIMENTO_REAL</t>
  </si>
  <si>
    <t xml:space="preserve">S7-02 cantidad OCR completo</t>
  </si>
  <si>
    <t xml:space="preserve">Ya no se necesita fallback</t>
  </si>
  <si>
    <t xml:space="preserve">D-17</t>
  </si>
  <si>
    <t xml:space="preserve">S8-03 Vercel infra</t>
  </si>
  <si>
    <t xml:space="preserve">ligie-index.js en /public/data/ -&gt; /dist/</t>
  </si>
  <si>
    <t xml:space="preserve">D-18</t>
  </si>
  <si>
    <t xml:space="preserve">S8-04 G14 fechas</t>
  </si>
  <si>
    <t xml:space="preserve">S7-01 OCR fechas base</t>
  </si>
  <si>
    <t xml:space="preserve">Faltan fechaEmision y fechaRegistro</t>
  </si>
  <si>
    <t xml:space="preserve">D-19</t>
  </si>
  <si>
    <t xml:space="preserve">S8-05 Modo Forense UI</t>
  </si>
  <si>
    <t xml:space="preserve">S7 NuevoPedimento mapping</t>
  </si>
  <si>
    <t xml:space="preserve">Toggle visual Validacion/Forense</t>
  </si>
  <si>
    <t xml:space="preserve">BondiaCT - Entregables por Sprint</t>
  </si>
  <si>
    <t xml:space="preserve">Entregable</t>
  </si>
  <si>
    <t xml:space="preserve">Categoria</t>
  </si>
  <si>
    <t xml:space="preserve">Fecha Entrega</t>
  </si>
  <si>
    <t xml:space="preserve">Impacto / Valor de Negocio</t>
  </si>
  <si>
    <t xml:space="preserve">Sistema de temas (Dark/Blue/Light) con CSS Variables</t>
  </si>
  <si>
    <t xml:space="preserve">Infra/UX</t>
  </si>
  <si>
    <t xml:space="preserve">Entregado</t>
  </si>
  <si>
    <t xml:space="preserve">Base visual profesional para toda la app. Temas consistentes sin colores hardcodeados.</t>
  </si>
  <si>
    <t xml:space="preserve">6 componentes UI tematizados</t>
  </si>
  <si>
    <t xml:space="preserve">Experiencia visual coherente en Kanban, ConsultaLIGIE, ExpedienteDigital, NuevoPedimento.</t>
  </si>
  <si>
    <t xml:space="preserve">Dashboard con stats, kanban y Recharts</t>
  </si>
  <si>
    <t xml:space="preserve">Vista ejecutiva con metricas de operaciones aduanales en tiempo real.</t>
  </si>
  <si>
    <t xml:space="preserve">GanttChartView + ValidarPedimento + Temas congelados</t>
  </si>
  <si>
    <t xml:space="preserve">Feature/Decision</t>
  </si>
  <si>
    <t xml:space="preserve">28/Mar/2026</t>
  </si>
  <si>
    <t xml:space="preserve">Timeline visual de operaciones. UI de validacion de pedimentos. Estabilidad visual garantizada.</t>
  </si>
  <si>
    <t xml:space="preserve">Motor LIGIE + DME Parser + Reglas G16/I10 + Semaforo</t>
  </si>
  <si>
    <t xml:space="preserve">Core Engine</t>
  </si>
  <si>
    <t xml:space="preserve">30/Mar/2026</t>
  </si>
  <si>
    <t xml:space="preserve">LIGIE con 8,133 fracciones. Validacion automatica contra Ley Aduanera Arts.65/176/178. Semaforo Monday-style.</t>
  </si>
  <si>
    <t xml:space="preserve">MXN Compliance Anexo 22 + LIGIE cache + Motor reglas P03/P05</t>
  </si>
  <si>
    <t xml:space="preserve">Compliance</t>
  </si>
  <si>
    <t xml:space="preserve">31/Mar/2026</t>
  </si>
  <si>
    <t xml:space="preserve">Cumplimiento normativo Anexo 22. Motor de reglas O(1) con LIGIE_INDEX. sanitizePDF para reportes.</t>
  </si>
  <si>
    <t xml:space="preserve">OCR real IMP/EXP + PDF profesional + Catalogo 60+ paises</t>
  </si>
  <si>
    <t xml:space="preserve">6/Abr/2026</t>
  </si>
  <si>
    <t xml:space="preserve">Pedimentos reales parseados. PDF sin overlap con Latin-1. G06/G15/P06 sin false positives. Cantidad+ValorAduana+PaisOrigen por partida.</t>
  </si>
  <si>
    <t xml:space="preserve">LIGIE dataset completo + Modo Forense + G14 fechas</t>
  </si>
  <si>
    <t xml:space="preserve">Backlog</t>
  </si>
  <si>
    <t xml:space="preserve">Dataset completo con NICO/RRNA/UMC. Toggle Validacion/Forense. fechaEmision+fechaRegistro del OCR.</t>
  </si>
  <si>
    <t xml:space="preserve">BondiaCT - Sprint Velocity &amp; Metrics</t>
  </si>
  <si>
    <t xml:space="preserve">SP Planeados</t>
  </si>
  <si>
    <t xml:space="preserve">SP Completados</t>
  </si>
  <si>
    <t xml:space="preserve">Tasks Total</t>
  </si>
  <si>
    <t xml:space="preserve">Tasks Done</t>
  </si>
  <si>
    <t xml:space="preserve">% Completado</t>
  </si>
  <si>
    <t xml:space="preserve">Duracion (dias)</t>
  </si>
  <si>
    <t xml:space="preserve">Velocidad (SP/dia)</t>
  </si>
  <si>
    <t xml:space="preserve">TOTAL</t>
  </si>
  <si>
    <t xml:space="preserve">PROMEDIO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</si>
</sst>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0.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897B"/>
      <name val="Arial"/>
      <family val="0"/>
      <charset val="1"/>
    </font>
    <font>
      <sz val="10"/>
      <color rgb="FF6B72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color rgb="FF2E7D32"/>
      <name val="Arial"/>
      <family val="0"/>
      <charset val="1"/>
    </font>
    <font>
      <b val="true"/>
      <sz val="10"/>
      <color rgb="FFF57F17"/>
      <name val="Arial"/>
      <family val="0"/>
      <charset val="1"/>
    </font>
    <font>
      <b val="true"/>
      <sz val="10"/>
      <color rgb="FF333333"/>
      <name val="Arial"/>
      <family val="0"/>
      <charset val="1"/>
    </font>
    <font>
      <b val="true"/>
      <sz val="11"/>
      <color rgb="FF00897B"/>
      <name val="Arial"/>
      <family val="0"/>
      <charset val="1"/>
    </font>
    <font>
      <sz val="10"/>
      <color rgb="FF2E7D32"/>
      <name val="Arial"/>
      <family val="0"/>
      <charset val="1"/>
    </font>
    <font>
      <b val="true"/>
      <sz val="10"/>
      <color rgb="FFC62828"/>
      <name val="Arial"/>
      <family val="0"/>
      <charset val="1"/>
    </font>
    <font>
      <b val="true"/>
      <sz val="10"/>
      <color rgb="FFE65100"/>
      <name val="Arial"/>
      <family val="0"/>
      <charset val="1"/>
    </font>
    <font>
      <b val="true"/>
      <sz val="10"/>
      <color rgb="FF00897B"/>
      <name val="Arial"/>
      <family val="0"/>
      <charset val="1"/>
    </font>
    <font>
      <b val="true"/>
      <sz val="10"/>
      <color rgb="FF6B728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0897B"/>
        <bgColor rgb="FF008080"/>
      </patternFill>
    </fill>
    <fill>
      <patternFill patternType="solid">
        <fgColor rgb="FFE8F5E9"/>
        <bgColor rgb="FFE5E7EB"/>
      </patternFill>
    </fill>
    <fill>
      <patternFill patternType="solid">
        <fgColor rgb="FFFFF8E1"/>
        <bgColor rgb="FFFFF3E0"/>
      </patternFill>
    </fill>
    <fill>
      <patternFill patternType="solid">
        <fgColor rgb="FFFFF3E0"/>
        <bgColor rgb="FFFFF8E1"/>
      </patternFill>
    </fill>
    <fill>
      <patternFill patternType="solid">
        <fgColor rgb="FFFFEBEE"/>
        <bgColor rgb="FFFFF3E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 diagonalUp="false" diagonalDown="false">
      <left/>
      <right/>
      <top style="medium">
        <color rgb="FF00897B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00897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8F5E9"/>
          <bgColor rgb="FF000000"/>
        </patternFill>
      </fill>
    </dxf>
    <dxf>
      <fill>
        <patternFill patternType="solid">
          <fgColor rgb="FFFFF8E1"/>
          <bgColor rgb="FF000000"/>
        </patternFill>
      </fill>
    </dxf>
    <dxf>
      <fill>
        <patternFill patternType="solid">
          <fgColor rgb="FF2E7D32"/>
          <bgColor rgb="FF000000"/>
        </patternFill>
      </fill>
    </dxf>
    <dxf>
      <fill>
        <patternFill patternType="solid">
          <fgColor rgb="FFF57F17"/>
          <bgColor rgb="FF000000"/>
        </patternFill>
      </fill>
    </dxf>
    <dxf>
      <fill>
        <patternFill patternType="solid">
          <fgColor rgb="FFFFEBEE"/>
          <bgColor rgb="FF000000"/>
        </patternFill>
      </fill>
    </dxf>
    <dxf>
      <fill>
        <patternFill patternType="solid">
          <fgColor rgb="FFC62828"/>
          <bgColor rgb="FF000000"/>
        </patternFill>
      </fill>
    </dxf>
    <dxf>
      <fill>
        <patternFill patternType="solid">
          <fgColor rgb="FFFFF3E0"/>
          <bgColor rgb="FF000000"/>
        </patternFill>
      </fill>
    </dxf>
    <dxf>
      <fill>
        <patternFill patternType="solid">
          <fgColor rgb="FFE651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E7D32"/>
      <rgbColor rgb="FF000080"/>
      <rgbColor rgb="FF808000"/>
      <rgbColor rgb="FF800080"/>
      <rgbColor rgb="FF00897B"/>
      <rgbColor rgb="FFC0C0C0"/>
      <rgbColor rgb="FF808080"/>
      <rgbColor rgb="FF9999FF"/>
      <rgbColor rgb="FF9C27B0"/>
      <rgbColor rgb="FFFFF8E1"/>
      <rgbColor rgb="FFE8F5E9"/>
      <rgbColor rgb="FF660066"/>
      <rgbColor rgb="FFF57F17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5E7EB"/>
      <rgbColor rgb="FFFFEBEE"/>
      <rgbColor rgb="FFFFF3E0"/>
      <rgbColor rgb="FF99CCFF"/>
      <rgbColor rgb="FFFF99CC"/>
      <rgbColor rgb="FFCC99FF"/>
      <rgbColor rgb="FFFFCC99"/>
      <rgbColor rgb="FF2196F3"/>
      <rgbColor rgb="FF33CCCC"/>
      <rgbColor rgb="FF99CC00"/>
      <rgbColor rgb="FFFFCC00"/>
      <rgbColor rgb="FFFF9800"/>
      <rgbColor rgb="FFE65100"/>
      <rgbColor rgb="FF6B7280"/>
      <rgbColor rgb="FF969696"/>
      <rgbColor rgb="FF003366"/>
      <rgbColor rgb="FF4CAF50"/>
      <rgbColor rgb="FF003300"/>
      <rgbColor rgb="FF333300"/>
      <rgbColor rgb="FFC62828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897B"/>
    <pageSetUpPr fitToPage="false"/>
  </sheetPr>
  <dimension ref="A1:J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45"/>
    <col collapsed="false" customWidth="true" hidden="false" outlineLevel="0" max="4" min="4" style="0" width="12"/>
    <col collapsed="false" customWidth="true" hidden="false" outlineLevel="0" max="5" min="5" style="0" width="42"/>
    <col collapsed="false" customWidth="true" hidden="false" outlineLevel="0" max="6" min="6" style="0" width="14"/>
    <col collapsed="false" customWidth="true" hidden="false" outlineLevel="0" max="8" min="7" style="0" width="12"/>
    <col collapsed="false" customWidth="true" hidden="false" outlineLevel="0" max="9" min="9" style="0" width="13"/>
    <col collapsed="false" customWidth="true" hidden="false" outlineLevel="0" max="10" min="10" style="0" width="45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15" hidden="false" customHeight="false" outlineLevel="0" collapsed="false">
      <c r="A5" s="4" t="s">
        <v>12</v>
      </c>
      <c r="B5" s="4" t="s">
        <v>13</v>
      </c>
      <c r="C5" s="5" t="s">
        <v>14</v>
      </c>
      <c r="D5" s="5" t="s">
        <v>15</v>
      </c>
      <c r="E5" s="5" t="s">
        <v>16</v>
      </c>
      <c r="F5" s="6" t="s">
        <v>17</v>
      </c>
      <c r="G5" s="5" t="s">
        <v>18</v>
      </c>
      <c r="H5" s="5" t="s">
        <v>18</v>
      </c>
      <c r="I5" s="5" t="n">
        <v>5</v>
      </c>
      <c r="J5" s="5" t="s">
        <v>19</v>
      </c>
    </row>
    <row r="6" customFormat="false" ht="15" hidden="false" customHeight="false" outlineLevel="0" collapsed="false">
      <c r="A6" s="4" t="s">
        <v>12</v>
      </c>
      <c r="B6" s="4" t="s">
        <v>20</v>
      </c>
      <c r="C6" s="5" t="s">
        <v>21</v>
      </c>
      <c r="D6" s="5" t="s">
        <v>22</v>
      </c>
      <c r="E6" s="5" t="s">
        <v>23</v>
      </c>
      <c r="F6" s="6" t="s">
        <v>17</v>
      </c>
      <c r="G6" s="5" t="s">
        <v>18</v>
      </c>
      <c r="H6" s="5" t="s">
        <v>18</v>
      </c>
      <c r="I6" s="5" t="n">
        <v>3</v>
      </c>
      <c r="J6" s="5" t="s">
        <v>24</v>
      </c>
    </row>
    <row r="7" customFormat="false" ht="15" hidden="false" customHeight="false" outlineLevel="0" collapsed="false">
      <c r="A7" s="4" t="s">
        <v>12</v>
      </c>
      <c r="B7" s="4" t="s">
        <v>25</v>
      </c>
      <c r="C7" s="5" t="s">
        <v>26</v>
      </c>
      <c r="D7" s="5" t="s">
        <v>22</v>
      </c>
      <c r="E7" s="5" t="s">
        <v>27</v>
      </c>
      <c r="F7" s="6" t="s">
        <v>17</v>
      </c>
      <c r="G7" s="5" t="s">
        <v>18</v>
      </c>
      <c r="H7" s="5" t="s">
        <v>18</v>
      </c>
      <c r="I7" s="5" t="n">
        <v>2</v>
      </c>
      <c r="J7" s="5"/>
    </row>
    <row r="8" customFormat="false" ht="15" hidden="false" customHeight="false" outlineLevel="0" collapsed="false">
      <c r="A8" s="4" t="s">
        <v>28</v>
      </c>
      <c r="B8" s="4" t="s">
        <v>29</v>
      </c>
      <c r="C8" s="5" t="s">
        <v>30</v>
      </c>
      <c r="D8" s="5" t="s">
        <v>22</v>
      </c>
      <c r="E8" s="5" t="s">
        <v>31</v>
      </c>
      <c r="F8" s="6" t="s">
        <v>17</v>
      </c>
      <c r="G8" s="5" t="s">
        <v>18</v>
      </c>
      <c r="H8" s="5" t="s">
        <v>18</v>
      </c>
      <c r="I8" s="5" t="n">
        <v>3</v>
      </c>
      <c r="J8" s="5"/>
    </row>
    <row r="9" customFormat="false" ht="15" hidden="false" customHeight="false" outlineLevel="0" collapsed="false">
      <c r="A9" s="4" t="s">
        <v>28</v>
      </c>
      <c r="B9" s="4" t="s">
        <v>32</v>
      </c>
      <c r="C9" s="5" t="s">
        <v>33</v>
      </c>
      <c r="D9" s="5" t="s">
        <v>22</v>
      </c>
      <c r="E9" s="5" t="s">
        <v>34</v>
      </c>
      <c r="F9" s="6" t="s">
        <v>17</v>
      </c>
      <c r="G9" s="5" t="s">
        <v>18</v>
      </c>
      <c r="H9" s="5" t="s">
        <v>18</v>
      </c>
      <c r="I9" s="5" t="n">
        <v>2</v>
      </c>
      <c r="J9" s="5"/>
    </row>
    <row r="10" customFormat="false" ht="15" hidden="false" customHeight="false" outlineLevel="0" collapsed="false">
      <c r="A10" s="4" t="s">
        <v>28</v>
      </c>
      <c r="B10" s="4" t="s">
        <v>35</v>
      </c>
      <c r="C10" s="5" t="s">
        <v>36</v>
      </c>
      <c r="D10" s="5" t="s">
        <v>22</v>
      </c>
      <c r="E10" s="5" t="s">
        <v>37</v>
      </c>
      <c r="F10" s="6" t="s">
        <v>17</v>
      </c>
      <c r="G10" s="5" t="s">
        <v>18</v>
      </c>
      <c r="H10" s="5" t="s">
        <v>18</v>
      </c>
      <c r="I10" s="5" t="n">
        <v>5</v>
      </c>
      <c r="J10" s="5" t="s">
        <v>38</v>
      </c>
    </row>
    <row r="11" customFormat="false" ht="15" hidden="false" customHeight="false" outlineLevel="0" collapsed="false">
      <c r="A11" s="4" t="s">
        <v>28</v>
      </c>
      <c r="B11" s="4" t="s">
        <v>39</v>
      </c>
      <c r="C11" s="5" t="s">
        <v>40</v>
      </c>
      <c r="D11" s="5" t="s">
        <v>22</v>
      </c>
      <c r="E11" s="5" t="s">
        <v>41</v>
      </c>
      <c r="F11" s="6" t="s">
        <v>17</v>
      </c>
      <c r="G11" s="5" t="s">
        <v>18</v>
      </c>
      <c r="H11" s="5" t="s">
        <v>18</v>
      </c>
      <c r="I11" s="5" t="n">
        <v>3</v>
      </c>
      <c r="J11" s="5"/>
    </row>
    <row r="12" customFormat="false" ht="15" hidden="false" customHeight="false" outlineLevel="0" collapsed="false">
      <c r="A12" s="4" t="s">
        <v>28</v>
      </c>
      <c r="B12" s="4" t="s">
        <v>42</v>
      </c>
      <c r="C12" s="5" t="s">
        <v>43</v>
      </c>
      <c r="D12" s="5" t="s">
        <v>22</v>
      </c>
      <c r="E12" s="5" t="s">
        <v>44</v>
      </c>
      <c r="F12" s="6" t="s">
        <v>17</v>
      </c>
      <c r="G12" s="5" t="s">
        <v>18</v>
      </c>
      <c r="H12" s="5" t="s">
        <v>18</v>
      </c>
      <c r="I12" s="5" t="n">
        <v>2</v>
      </c>
      <c r="J12" s="5"/>
    </row>
    <row r="13" customFormat="false" ht="15" hidden="false" customHeight="false" outlineLevel="0" collapsed="false">
      <c r="A13" s="4" t="s">
        <v>28</v>
      </c>
      <c r="B13" s="4" t="s">
        <v>45</v>
      </c>
      <c r="C13" s="5" t="s">
        <v>46</v>
      </c>
      <c r="D13" s="5" t="s">
        <v>22</v>
      </c>
      <c r="E13" s="5" t="s">
        <v>47</v>
      </c>
      <c r="F13" s="6" t="s">
        <v>17</v>
      </c>
      <c r="G13" s="5" t="s">
        <v>18</v>
      </c>
      <c r="H13" s="5" t="s">
        <v>18</v>
      </c>
      <c r="I13" s="5" t="n">
        <v>3</v>
      </c>
      <c r="J13" s="5"/>
    </row>
    <row r="14" customFormat="false" ht="15" hidden="false" customHeight="false" outlineLevel="0" collapsed="false">
      <c r="A14" s="4" t="s">
        <v>48</v>
      </c>
      <c r="B14" s="4" t="s">
        <v>49</v>
      </c>
      <c r="C14" s="5" t="s">
        <v>50</v>
      </c>
      <c r="D14" s="5" t="s">
        <v>51</v>
      </c>
      <c r="E14" s="5" t="s">
        <v>52</v>
      </c>
      <c r="F14" s="6" t="s">
        <v>17</v>
      </c>
      <c r="G14" s="5" t="s">
        <v>18</v>
      </c>
      <c r="H14" s="5" t="s">
        <v>18</v>
      </c>
      <c r="I14" s="5" t="n">
        <v>8</v>
      </c>
      <c r="J14" s="5" t="s">
        <v>53</v>
      </c>
    </row>
    <row r="15" customFormat="false" ht="15" hidden="false" customHeight="false" outlineLevel="0" collapsed="false">
      <c r="A15" s="4" t="s">
        <v>48</v>
      </c>
      <c r="B15" s="4" t="s">
        <v>54</v>
      </c>
      <c r="C15" s="5" t="s">
        <v>55</v>
      </c>
      <c r="D15" s="5" t="s">
        <v>22</v>
      </c>
      <c r="E15" s="5" t="s">
        <v>56</v>
      </c>
      <c r="F15" s="6" t="s">
        <v>17</v>
      </c>
      <c r="G15" s="5" t="s">
        <v>18</v>
      </c>
      <c r="H15" s="5" t="s">
        <v>18</v>
      </c>
      <c r="I15" s="5" t="n">
        <v>3</v>
      </c>
      <c r="J15" s="5"/>
    </row>
    <row r="16" customFormat="false" ht="15" hidden="false" customHeight="false" outlineLevel="0" collapsed="false">
      <c r="A16" s="4" t="s">
        <v>57</v>
      </c>
      <c r="B16" s="4" t="s">
        <v>58</v>
      </c>
      <c r="C16" s="5" t="s">
        <v>59</v>
      </c>
      <c r="D16" s="5" t="s">
        <v>60</v>
      </c>
      <c r="E16" s="5" t="s">
        <v>61</v>
      </c>
      <c r="F16" s="6" t="s">
        <v>17</v>
      </c>
      <c r="G16" s="5" t="s">
        <v>62</v>
      </c>
      <c r="H16" s="5" t="s">
        <v>62</v>
      </c>
      <c r="I16" s="5" t="n">
        <v>2</v>
      </c>
      <c r="J16" s="5" t="s">
        <v>63</v>
      </c>
    </row>
    <row r="17" customFormat="false" ht="15" hidden="false" customHeight="false" outlineLevel="0" collapsed="false">
      <c r="A17" s="4" t="s">
        <v>57</v>
      </c>
      <c r="B17" s="4" t="s">
        <v>64</v>
      </c>
      <c r="C17" s="5" t="s">
        <v>65</v>
      </c>
      <c r="D17" s="5" t="s">
        <v>51</v>
      </c>
      <c r="E17" s="5" t="s">
        <v>66</v>
      </c>
      <c r="F17" s="6" t="s">
        <v>17</v>
      </c>
      <c r="G17" s="5" t="s">
        <v>62</v>
      </c>
      <c r="H17" s="5" t="s">
        <v>62</v>
      </c>
      <c r="I17" s="5" t="n">
        <v>8</v>
      </c>
      <c r="J17" s="5" t="s">
        <v>67</v>
      </c>
    </row>
    <row r="18" customFormat="false" ht="15" hidden="false" customHeight="false" outlineLevel="0" collapsed="false">
      <c r="A18" s="4" t="s">
        <v>57</v>
      </c>
      <c r="B18" s="4" t="s">
        <v>68</v>
      </c>
      <c r="C18" s="5" t="s">
        <v>69</v>
      </c>
      <c r="D18" s="5" t="s">
        <v>51</v>
      </c>
      <c r="E18" s="5" t="s">
        <v>70</v>
      </c>
      <c r="F18" s="6" t="s">
        <v>17</v>
      </c>
      <c r="G18" s="5" t="s">
        <v>62</v>
      </c>
      <c r="H18" s="5" t="s">
        <v>62</v>
      </c>
      <c r="I18" s="5" t="n">
        <v>5</v>
      </c>
      <c r="J18" s="5" t="s">
        <v>71</v>
      </c>
    </row>
    <row r="19" customFormat="false" ht="15" hidden="false" customHeight="false" outlineLevel="0" collapsed="false">
      <c r="A19" s="4" t="s">
        <v>57</v>
      </c>
      <c r="B19" s="4" t="s">
        <v>72</v>
      </c>
      <c r="C19" s="5" t="s">
        <v>73</v>
      </c>
      <c r="D19" s="5" t="s">
        <v>51</v>
      </c>
      <c r="E19" s="5" t="s">
        <v>52</v>
      </c>
      <c r="F19" s="6" t="s">
        <v>17</v>
      </c>
      <c r="G19" s="5" t="s">
        <v>62</v>
      </c>
      <c r="H19" s="5" t="s">
        <v>62</v>
      </c>
      <c r="I19" s="5" t="n">
        <v>5</v>
      </c>
      <c r="J19" s="5" t="s">
        <v>74</v>
      </c>
    </row>
    <row r="20" customFormat="false" ht="15" hidden="false" customHeight="false" outlineLevel="0" collapsed="false">
      <c r="A20" s="4" t="s">
        <v>57</v>
      </c>
      <c r="B20" s="4" t="s">
        <v>75</v>
      </c>
      <c r="C20" s="5" t="s">
        <v>76</v>
      </c>
      <c r="D20" s="5" t="s">
        <v>77</v>
      </c>
      <c r="E20" s="5" t="s">
        <v>16</v>
      </c>
      <c r="F20" s="6" t="s">
        <v>17</v>
      </c>
      <c r="G20" s="5" t="s">
        <v>62</v>
      </c>
      <c r="H20" s="5" t="s">
        <v>62</v>
      </c>
      <c r="I20" s="5" t="n">
        <v>1</v>
      </c>
      <c r="J20" s="5" t="s">
        <v>78</v>
      </c>
    </row>
    <row r="21" customFormat="false" ht="15" hidden="false" customHeight="false" outlineLevel="0" collapsed="false">
      <c r="A21" s="4" t="s">
        <v>79</v>
      </c>
      <c r="B21" s="4" t="s">
        <v>80</v>
      </c>
      <c r="C21" s="5" t="s">
        <v>81</v>
      </c>
      <c r="D21" s="5" t="s">
        <v>51</v>
      </c>
      <c r="E21" s="5" t="s">
        <v>82</v>
      </c>
      <c r="F21" s="6" t="s">
        <v>17</v>
      </c>
      <c r="G21" s="5" t="s">
        <v>83</v>
      </c>
      <c r="H21" s="5" t="s">
        <v>84</v>
      </c>
      <c r="I21" s="5" t="n">
        <v>13</v>
      </c>
      <c r="J21" s="5" t="s">
        <v>85</v>
      </c>
    </row>
    <row r="22" customFormat="false" ht="15" hidden="false" customHeight="false" outlineLevel="0" collapsed="false">
      <c r="A22" s="4" t="s">
        <v>79</v>
      </c>
      <c r="B22" s="4" t="s">
        <v>86</v>
      </c>
      <c r="C22" s="5" t="s">
        <v>87</v>
      </c>
      <c r="D22" s="5" t="s">
        <v>51</v>
      </c>
      <c r="E22" s="5" t="s">
        <v>88</v>
      </c>
      <c r="F22" s="6" t="s">
        <v>17</v>
      </c>
      <c r="G22" s="5" t="s">
        <v>83</v>
      </c>
      <c r="H22" s="5" t="s">
        <v>84</v>
      </c>
      <c r="I22" s="5" t="n">
        <v>8</v>
      </c>
      <c r="J22" s="5" t="s">
        <v>89</v>
      </c>
    </row>
    <row r="23" customFormat="false" ht="15" hidden="false" customHeight="false" outlineLevel="0" collapsed="false">
      <c r="A23" s="4" t="s">
        <v>79</v>
      </c>
      <c r="B23" s="4" t="s">
        <v>90</v>
      </c>
      <c r="C23" s="5" t="s">
        <v>91</v>
      </c>
      <c r="D23" s="5" t="s">
        <v>51</v>
      </c>
      <c r="E23" s="5" t="s">
        <v>92</v>
      </c>
      <c r="F23" s="6" t="s">
        <v>17</v>
      </c>
      <c r="G23" s="5" t="s">
        <v>83</v>
      </c>
      <c r="H23" s="5" t="s">
        <v>84</v>
      </c>
      <c r="I23" s="5" t="n">
        <v>5</v>
      </c>
      <c r="J23" s="5" t="s">
        <v>93</v>
      </c>
    </row>
    <row r="24" customFormat="false" ht="15" hidden="false" customHeight="false" outlineLevel="0" collapsed="false">
      <c r="A24" s="4" t="s">
        <v>79</v>
      </c>
      <c r="B24" s="4" t="s">
        <v>94</v>
      </c>
      <c r="C24" s="5" t="s">
        <v>95</v>
      </c>
      <c r="D24" s="5" t="s">
        <v>51</v>
      </c>
      <c r="E24" s="5" t="s">
        <v>96</v>
      </c>
      <c r="F24" s="6" t="s">
        <v>17</v>
      </c>
      <c r="G24" s="5" t="s">
        <v>83</v>
      </c>
      <c r="H24" s="5" t="s">
        <v>84</v>
      </c>
      <c r="I24" s="5" t="n">
        <v>5</v>
      </c>
      <c r="J24" s="5" t="s">
        <v>97</v>
      </c>
    </row>
    <row r="25" customFormat="false" ht="15" hidden="false" customHeight="false" outlineLevel="0" collapsed="false">
      <c r="A25" s="4" t="s">
        <v>79</v>
      </c>
      <c r="B25" s="4" t="s">
        <v>98</v>
      </c>
      <c r="C25" s="5" t="s">
        <v>99</v>
      </c>
      <c r="D25" s="5" t="s">
        <v>51</v>
      </c>
      <c r="E25" s="5" t="s">
        <v>100</v>
      </c>
      <c r="F25" s="6" t="s">
        <v>17</v>
      </c>
      <c r="G25" s="5" t="s">
        <v>83</v>
      </c>
      <c r="H25" s="5" t="s">
        <v>84</v>
      </c>
      <c r="I25" s="5" t="n">
        <v>5</v>
      </c>
      <c r="J25" s="5"/>
    </row>
    <row r="26" customFormat="false" ht="15" hidden="false" customHeight="false" outlineLevel="0" collapsed="false">
      <c r="A26" s="4" t="s">
        <v>79</v>
      </c>
      <c r="B26" s="4" t="s">
        <v>101</v>
      </c>
      <c r="C26" s="5" t="s">
        <v>102</v>
      </c>
      <c r="D26" s="5" t="s">
        <v>60</v>
      </c>
      <c r="E26" s="5" t="s">
        <v>103</v>
      </c>
      <c r="F26" s="6" t="s">
        <v>17</v>
      </c>
      <c r="G26" s="5" t="s">
        <v>84</v>
      </c>
      <c r="H26" s="5" t="s">
        <v>84</v>
      </c>
      <c r="I26" s="5" t="n">
        <v>3</v>
      </c>
      <c r="J26" s="5" t="s">
        <v>104</v>
      </c>
    </row>
    <row r="27" customFormat="false" ht="15" hidden="false" customHeight="false" outlineLevel="0" collapsed="false">
      <c r="A27" s="4" t="s">
        <v>105</v>
      </c>
      <c r="B27" s="4" t="s">
        <v>106</v>
      </c>
      <c r="C27" s="5" t="s">
        <v>107</v>
      </c>
      <c r="D27" s="5" t="s">
        <v>51</v>
      </c>
      <c r="E27" s="5" t="s">
        <v>108</v>
      </c>
      <c r="F27" s="6" t="s">
        <v>17</v>
      </c>
      <c r="G27" s="5" t="s">
        <v>109</v>
      </c>
      <c r="H27" s="5" t="s">
        <v>109</v>
      </c>
      <c r="I27" s="5" t="n">
        <v>5</v>
      </c>
      <c r="J27" s="5" t="s">
        <v>110</v>
      </c>
    </row>
    <row r="28" customFormat="false" ht="15" hidden="false" customHeight="false" outlineLevel="0" collapsed="false">
      <c r="A28" s="4" t="s">
        <v>105</v>
      </c>
      <c r="B28" s="4" t="s">
        <v>111</v>
      </c>
      <c r="C28" s="5" t="s">
        <v>112</v>
      </c>
      <c r="D28" s="5" t="s">
        <v>51</v>
      </c>
      <c r="E28" s="5" t="s">
        <v>113</v>
      </c>
      <c r="F28" s="6" t="s">
        <v>17</v>
      </c>
      <c r="G28" s="5" t="s">
        <v>109</v>
      </c>
      <c r="H28" s="5" t="s">
        <v>109</v>
      </c>
      <c r="I28" s="5" t="n">
        <v>8</v>
      </c>
      <c r="J28" s="5" t="s">
        <v>114</v>
      </c>
    </row>
    <row r="29" customFormat="false" ht="15" hidden="false" customHeight="false" outlineLevel="0" collapsed="false">
      <c r="A29" s="4" t="s">
        <v>105</v>
      </c>
      <c r="B29" s="4" t="s">
        <v>115</v>
      </c>
      <c r="C29" s="5" t="s">
        <v>116</v>
      </c>
      <c r="D29" s="5" t="s">
        <v>22</v>
      </c>
      <c r="E29" s="5" t="s">
        <v>117</v>
      </c>
      <c r="F29" s="6" t="s">
        <v>17</v>
      </c>
      <c r="G29" s="5" t="s">
        <v>109</v>
      </c>
      <c r="H29" s="5" t="s">
        <v>109</v>
      </c>
      <c r="I29" s="5" t="n">
        <v>3</v>
      </c>
      <c r="J29" s="5" t="s">
        <v>118</v>
      </c>
    </row>
    <row r="30" customFormat="false" ht="15" hidden="false" customHeight="false" outlineLevel="0" collapsed="false">
      <c r="A30" s="4" t="s">
        <v>105</v>
      </c>
      <c r="B30" s="4" t="s">
        <v>119</v>
      </c>
      <c r="C30" s="5" t="s">
        <v>120</v>
      </c>
      <c r="D30" s="5" t="s">
        <v>60</v>
      </c>
      <c r="E30" s="5" t="s">
        <v>121</v>
      </c>
      <c r="F30" s="6" t="s">
        <v>17</v>
      </c>
      <c r="G30" s="5" t="s">
        <v>109</v>
      </c>
      <c r="H30" s="5" t="s">
        <v>109</v>
      </c>
      <c r="I30" s="5" t="n">
        <v>5</v>
      </c>
      <c r="J30" s="5" t="s">
        <v>122</v>
      </c>
    </row>
    <row r="31" customFormat="false" ht="15" hidden="false" customHeight="false" outlineLevel="0" collapsed="false">
      <c r="A31" s="4" t="s">
        <v>123</v>
      </c>
      <c r="B31" s="4" t="s">
        <v>124</v>
      </c>
      <c r="C31" s="5" t="s">
        <v>125</v>
      </c>
      <c r="D31" s="5" t="s">
        <v>51</v>
      </c>
      <c r="E31" s="5" t="s">
        <v>126</v>
      </c>
      <c r="F31" s="6" t="s">
        <v>17</v>
      </c>
      <c r="G31" s="5" t="s">
        <v>127</v>
      </c>
      <c r="H31" s="5" t="s">
        <v>128</v>
      </c>
      <c r="I31" s="5" t="n">
        <v>13</v>
      </c>
      <c r="J31" s="5" t="s">
        <v>129</v>
      </c>
    </row>
    <row r="32" customFormat="false" ht="15" hidden="false" customHeight="false" outlineLevel="0" collapsed="false">
      <c r="A32" s="4" t="s">
        <v>123</v>
      </c>
      <c r="B32" s="4" t="s">
        <v>130</v>
      </c>
      <c r="C32" s="5" t="s">
        <v>131</v>
      </c>
      <c r="D32" s="5" t="s">
        <v>51</v>
      </c>
      <c r="E32" s="5" t="s">
        <v>132</v>
      </c>
      <c r="F32" s="6" t="s">
        <v>17</v>
      </c>
      <c r="G32" s="5" t="s">
        <v>133</v>
      </c>
      <c r="H32" s="5" t="s">
        <v>128</v>
      </c>
      <c r="I32" s="5" t="n">
        <v>8</v>
      </c>
      <c r="J32" s="5" t="s">
        <v>134</v>
      </c>
    </row>
    <row r="33" customFormat="false" ht="15" hidden="false" customHeight="false" outlineLevel="0" collapsed="false">
      <c r="A33" s="4" t="s">
        <v>123</v>
      </c>
      <c r="B33" s="4" t="s">
        <v>135</v>
      </c>
      <c r="C33" s="5" t="s">
        <v>136</v>
      </c>
      <c r="D33" s="5" t="s">
        <v>60</v>
      </c>
      <c r="E33" s="5" t="s">
        <v>137</v>
      </c>
      <c r="F33" s="6" t="s">
        <v>17</v>
      </c>
      <c r="G33" s="5" t="s">
        <v>133</v>
      </c>
      <c r="H33" s="5" t="s">
        <v>128</v>
      </c>
      <c r="I33" s="5" t="n">
        <v>5</v>
      </c>
      <c r="J33" s="5" t="s">
        <v>138</v>
      </c>
    </row>
    <row r="34" customFormat="false" ht="15" hidden="false" customHeight="false" outlineLevel="0" collapsed="false">
      <c r="A34" s="4" t="s">
        <v>123</v>
      </c>
      <c r="B34" s="4" t="s">
        <v>139</v>
      </c>
      <c r="C34" s="5" t="s">
        <v>140</v>
      </c>
      <c r="D34" s="5" t="s">
        <v>60</v>
      </c>
      <c r="E34" s="5" t="s">
        <v>141</v>
      </c>
      <c r="F34" s="6" t="s">
        <v>17</v>
      </c>
      <c r="G34" s="5" t="s">
        <v>133</v>
      </c>
      <c r="H34" s="5" t="s">
        <v>128</v>
      </c>
      <c r="I34" s="5" t="n">
        <v>8</v>
      </c>
      <c r="J34" s="5" t="s">
        <v>142</v>
      </c>
    </row>
    <row r="35" customFormat="false" ht="15" hidden="false" customHeight="false" outlineLevel="0" collapsed="false">
      <c r="A35" s="4" t="s">
        <v>123</v>
      </c>
      <c r="B35" s="4" t="s">
        <v>143</v>
      </c>
      <c r="C35" s="5" t="s">
        <v>144</v>
      </c>
      <c r="D35" s="5" t="s">
        <v>51</v>
      </c>
      <c r="E35" s="5" t="s">
        <v>47</v>
      </c>
      <c r="F35" s="6" t="s">
        <v>17</v>
      </c>
      <c r="G35" s="5" t="s">
        <v>128</v>
      </c>
      <c r="H35" s="5" t="s">
        <v>128</v>
      </c>
      <c r="I35" s="5" t="n">
        <v>5</v>
      </c>
      <c r="J35" s="5" t="s">
        <v>145</v>
      </c>
    </row>
    <row r="36" customFormat="false" ht="15" hidden="false" customHeight="false" outlineLevel="0" collapsed="false">
      <c r="A36" s="4" t="s">
        <v>123</v>
      </c>
      <c r="B36" s="4" t="s">
        <v>146</v>
      </c>
      <c r="C36" s="5" t="s">
        <v>147</v>
      </c>
      <c r="D36" s="5" t="s">
        <v>51</v>
      </c>
      <c r="E36" s="5" t="s">
        <v>141</v>
      </c>
      <c r="F36" s="6" t="s">
        <v>17</v>
      </c>
      <c r="G36" s="5" t="s">
        <v>128</v>
      </c>
      <c r="H36" s="5" t="s">
        <v>128</v>
      </c>
      <c r="I36" s="5" t="n">
        <v>3</v>
      </c>
      <c r="J36" s="5" t="s">
        <v>148</v>
      </c>
    </row>
    <row r="37" customFormat="false" ht="15" hidden="false" customHeight="false" outlineLevel="0" collapsed="false">
      <c r="A37" s="4" t="s">
        <v>123</v>
      </c>
      <c r="B37" s="4" t="s">
        <v>149</v>
      </c>
      <c r="C37" s="5" t="s">
        <v>150</v>
      </c>
      <c r="D37" s="5" t="s">
        <v>51</v>
      </c>
      <c r="E37" s="5" t="s">
        <v>151</v>
      </c>
      <c r="F37" s="6" t="s">
        <v>17</v>
      </c>
      <c r="G37" s="5" t="s">
        <v>128</v>
      </c>
      <c r="H37" s="5" t="s">
        <v>128</v>
      </c>
      <c r="I37" s="5" t="n">
        <v>3</v>
      </c>
      <c r="J37" s="5" t="s">
        <v>152</v>
      </c>
    </row>
    <row r="38" customFormat="false" ht="23.85" hidden="false" customHeight="false" outlineLevel="0" collapsed="false">
      <c r="A38" s="4" t="s">
        <v>153</v>
      </c>
      <c r="B38" s="4" t="s">
        <v>154</v>
      </c>
      <c r="C38" s="5" t="s">
        <v>155</v>
      </c>
      <c r="D38" s="5" t="s">
        <v>51</v>
      </c>
      <c r="E38" s="5" t="s">
        <v>156</v>
      </c>
      <c r="F38" s="7" t="s">
        <v>157</v>
      </c>
      <c r="G38" s="5"/>
      <c r="H38" s="5"/>
      <c r="I38" s="5" t="n">
        <v>13</v>
      </c>
      <c r="J38" s="5" t="s">
        <v>158</v>
      </c>
    </row>
    <row r="39" customFormat="false" ht="15" hidden="false" customHeight="false" outlineLevel="0" collapsed="false">
      <c r="A39" s="4" t="s">
        <v>153</v>
      </c>
      <c r="B39" s="4" t="s">
        <v>159</v>
      </c>
      <c r="C39" s="5" t="s">
        <v>160</v>
      </c>
      <c r="D39" s="5" t="s">
        <v>161</v>
      </c>
      <c r="E39" s="5" t="s">
        <v>126</v>
      </c>
      <c r="F39" s="7" t="s">
        <v>157</v>
      </c>
      <c r="G39" s="5"/>
      <c r="H39" s="5"/>
      <c r="I39" s="5" t="n">
        <v>3</v>
      </c>
      <c r="J39" s="5" t="s">
        <v>162</v>
      </c>
    </row>
    <row r="40" customFormat="false" ht="15" hidden="false" customHeight="false" outlineLevel="0" collapsed="false">
      <c r="A40" s="4" t="s">
        <v>153</v>
      </c>
      <c r="B40" s="4" t="s">
        <v>163</v>
      </c>
      <c r="C40" s="5" t="s">
        <v>164</v>
      </c>
      <c r="D40" s="5" t="s">
        <v>15</v>
      </c>
      <c r="E40" s="5" t="s">
        <v>165</v>
      </c>
      <c r="F40" s="7" t="s">
        <v>157</v>
      </c>
      <c r="G40" s="5"/>
      <c r="H40" s="5"/>
      <c r="I40" s="5" t="n">
        <v>3</v>
      </c>
      <c r="J40" s="5" t="s">
        <v>166</v>
      </c>
    </row>
    <row r="41" customFormat="false" ht="15" hidden="false" customHeight="false" outlineLevel="0" collapsed="false">
      <c r="A41" s="4" t="s">
        <v>153</v>
      </c>
      <c r="B41" s="4" t="s">
        <v>167</v>
      </c>
      <c r="C41" s="5" t="s">
        <v>168</v>
      </c>
      <c r="D41" s="5" t="s">
        <v>51</v>
      </c>
      <c r="E41" s="5" t="s">
        <v>126</v>
      </c>
      <c r="F41" s="7" t="s">
        <v>157</v>
      </c>
      <c r="G41" s="5"/>
      <c r="H41" s="5"/>
      <c r="I41" s="5" t="n">
        <v>5</v>
      </c>
      <c r="J41" s="5" t="s">
        <v>169</v>
      </c>
    </row>
    <row r="42" customFormat="false" ht="15" hidden="false" customHeight="false" outlineLevel="0" collapsed="false">
      <c r="A42" s="4" t="s">
        <v>153</v>
      </c>
      <c r="B42" s="4" t="s">
        <v>170</v>
      </c>
      <c r="C42" s="5" t="s">
        <v>171</v>
      </c>
      <c r="D42" s="5" t="s">
        <v>51</v>
      </c>
      <c r="E42" s="5" t="s">
        <v>47</v>
      </c>
      <c r="F42" s="7" t="s">
        <v>157</v>
      </c>
      <c r="G42" s="5"/>
      <c r="H42" s="5"/>
      <c r="I42" s="5" t="n">
        <v>8</v>
      </c>
      <c r="J42" s="5" t="s">
        <v>172</v>
      </c>
    </row>
    <row r="45" customFormat="false" ht="15" hidden="false" customHeight="false" outlineLevel="0" collapsed="false">
      <c r="A45" s="8" t="s">
        <v>173</v>
      </c>
    </row>
    <row r="46" customFormat="false" ht="15" hidden="false" customHeight="false" outlineLevel="0" collapsed="false">
      <c r="A46" s="8" t="s">
        <v>174</v>
      </c>
      <c r="B46" s="0" t="n">
        <f aca="false">COUNTA(B5:B43)</f>
        <v>38</v>
      </c>
    </row>
    <row r="47" customFormat="false" ht="15" hidden="false" customHeight="false" outlineLevel="0" collapsed="false">
      <c r="A47" s="8" t="s">
        <v>175</v>
      </c>
      <c r="B47" s="0" t="n">
        <f aca="false">COUNTIF(F5:F43,"DONE")</f>
        <v>33</v>
      </c>
    </row>
    <row r="48" customFormat="false" ht="15" hidden="false" customHeight="false" outlineLevel="0" collapsed="false">
      <c r="A48" s="8" t="s">
        <v>176</v>
      </c>
      <c r="B48" s="0" t="n">
        <f aca="false">COUNTIF(F5:F43,"PENDING")</f>
        <v>5</v>
      </c>
    </row>
    <row r="49" customFormat="false" ht="15" hidden="false" customHeight="false" outlineLevel="0" collapsed="false">
      <c r="A49" s="8" t="s">
        <v>177</v>
      </c>
      <c r="B49" s="0" t="n">
        <f aca="false">SUM(I5:I43)</f>
        <v>197</v>
      </c>
    </row>
    <row r="50" customFormat="false" ht="15" hidden="false" customHeight="false" outlineLevel="0" collapsed="false">
      <c r="A50" s="8" t="s">
        <v>178</v>
      </c>
      <c r="B50" s="0" t="n">
        <f aca="false">SUMPRODUCT((F5:F43="DONE")*(I5:I43))</f>
        <v>165</v>
      </c>
    </row>
  </sheetData>
  <autoFilter ref="A4:J43"/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196F3"/>
    <pageSetUpPr fitToPage="false"/>
  </sheetPr>
  <dimension ref="A1:P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3" topLeftCell="G4" activePane="bottomRight" state="frozen"/>
      <selection pane="topLeft" activeCell="A1" activeCellId="0" sqref="A1"/>
      <selection pane="topRight" activeCell="G1" activeCellId="0" sqref="G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5"/>
    <col collapsed="false" customWidth="true" hidden="false" outlineLevel="0" max="3" min="3" style="0" width="14"/>
    <col collapsed="false" customWidth="true" hidden="false" outlineLevel="0" max="5" min="4" style="0" width="12"/>
    <col collapsed="false" customWidth="true" hidden="false" outlineLevel="0" max="6" min="6" style="0" width="8"/>
    <col collapsed="false" customWidth="true" hidden="false" outlineLevel="0" max="13" min="7" style="0" width="10"/>
  </cols>
  <sheetData>
    <row r="1" customFormat="false" ht="17.35" hidden="false" customHeight="false" outlineLevel="0" collapsed="false">
      <c r="A1" s="1" t="s">
        <v>179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3" customFormat="false" ht="15" hidden="false" customHeight="false" outlineLevel="0" collapsed="false">
      <c r="A3" s="3" t="s">
        <v>2</v>
      </c>
      <c r="B3" s="3" t="s">
        <v>180</v>
      </c>
      <c r="C3" s="3" t="s">
        <v>7</v>
      </c>
      <c r="D3" s="3" t="s">
        <v>8</v>
      </c>
      <c r="E3" s="3" t="s">
        <v>9</v>
      </c>
      <c r="F3" s="3" t="s">
        <v>181</v>
      </c>
      <c r="G3" s="3" t="s">
        <v>182</v>
      </c>
      <c r="H3" s="3" t="s">
        <v>183</v>
      </c>
      <c r="I3" s="3" t="s">
        <v>184</v>
      </c>
      <c r="J3" s="3" t="s">
        <v>185</v>
      </c>
      <c r="K3" s="3" t="s">
        <v>186</v>
      </c>
      <c r="L3" s="3" t="s">
        <v>187</v>
      </c>
      <c r="M3" s="3" t="s">
        <v>188</v>
      </c>
    </row>
    <row r="4" customFormat="false" ht="15" hidden="false" customHeight="false" outlineLevel="0" collapsed="false">
      <c r="A4" s="4" t="s">
        <v>12</v>
      </c>
      <c r="B4" s="4" t="s">
        <v>189</v>
      </c>
      <c r="C4" s="9" t="s">
        <v>190</v>
      </c>
      <c r="D4" s="5" t="s">
        <v>182</v>
      </c>
      <c r="E4" s="5" t="s">
        <v>182</v>
      </c>
      <c r="F4" s="5" t="n">
        <f aca="false">SUMPRODUCT(('Sprint Planning'!A5:A50="S1")*('Sprint Planning'!I5:I50))</f>
        <v>10</v>
      </c>
      <c r="G4" s="10"/>
      <c r="H4" s="11"/>
      <c r="I4" s="11"/>
      <c r="J4" s="11"/>
      <c r="K4" s="11"/>
      <c r="L4" s="11"/>
      <c r="M4" s="11"/>
    </row>
    <row r="5" customFormat="false" ht="15" hidden="false" customHeight="false" outlineLevel="0" collapsed="false">
      <c r="A5" s="4" t="s">
        <v>28</v>
      </c>
      <c r="B5" s="4" t="s">
        <v>191</v>
      </c>
      <c r="C5" s="9" t="s">
        <v>190</v>
      </c>
      <c r="D5" s="5" t="s">
        <v>183</v>
      </c>
      <c r="E5" s="5" t="s">
        <v>183</v>
      </c>
      <c r="F5" s="5" t="n">
        <f aca="false">SUMPRODUCT(('Sprint Planning'!A5:A50="S2")*('Sprint Planning'!I5:I50))</f>
        <v>18</v>
      </c>
      <c r="G5" s="11"/>
      <c r="H5" s="10"/>
      <c r="I5" s="11"/>
      <c r="J5" s="11"/>
      <c r="K5" s="11"/>
      <c r="L5" s="11"/>
      <c r="M5" s="11"/>
    </row>
    <row r="6" customFormat="false" ht="15" hidden="false" customHeight="false" outlineLevel="0" collapsed="false">
      <c r="A6" s="4" t="s">
        <v>48</v>
      </c>
      <c r="B6" s="4" t="s">
        <v>192</v>
      </c>
      <c r="C6" s="9" t="s">
        <v>190</v>
      </c>
      <c r="D6" s="5" t="s">
        <v>184</v>
      </c>
      <c r="E6" s="5" t="s">
        <v>184</v>
      </c>
      <c r="F6" s="5" t="n">
        <f aca="false">SUMPRODUCT(('Sprint Planning'!A5:A50="S3")*('Sprint Planning'!I5:I50))</f>
        <v>11</v>
      </c>
      <c r="G6" s="11"/>
      <c r="H6" s="11"/>
      <c r="I6" s="10"/>
      <c r="J6" s="11"/>
      <c r="K6" s="11"/>
      <c r="L6" s="11"/>
      <c r="M6" s="11"/>
    </row>
    <row r="7" customFormat="false" ht="15" hidden="false" customHeight="false" outlineLevel="0" collapsed="false">
      <c r="A7" s="4" t="s">
        <v>57</v>
      </c>
      <c r="B7" s="4" t="s">
        <v>193</v>
      </c>
      <c r="C7" s="9" t="s">
        <v>190</v>
      </c>
      <c r="D7" s="5" t="s">
        <v>62</v>
      </c>
      <c r="E7" s="5" t="s">
        <v>62</v>
      </c>
      <c r="F7" s="5" t="n">
        <f aca="false">SUMPRODUCT(('Sprint Planning'!A5:A50="S4")*('Sprint Planning'!I5:I50))</f>
        <v>21</v>
      </c>
      <c r="G7" s="11"/>
      <c r="H7" s="11"/>
      <c r="I7" s="11"/>
      <c r="J7" s="10"/>
      <c r="K7" s="11"/>
      <c r="L7" s="11"/>
      <c r="M7" s="11"/>
    </row>
    <row r="8" customFormat="false" ht="15" hidden="false" customHeight="false" outlineLevel="0" collapsed="false">
      <c r="A8" s="4" t="s">
        <v>79</v>
      </c>
      <c r="B8" s="4" t="s">
        <v>194</v>
      </c>
      <c r="C8" s="9" t="s">
        <v>190</v>
      </c>
      <c r="D8" s="5" t="s">
        <v>83</v>
      </c>
      <c r="E8" s="5" t="s">
        <v>84</v>
      </c>
      <c r="F8" s="5" t="n">
        <f aca="false">SUMPRODUCT(('Sprint Planning'!A5:A50="S5")*('Sprint Planning'!I5:I50))</f>
        <v>39</v>
      </c>
      <c r="G8" s="11"/>
      <c r="H8" s="11"/>
      <c r="I8" s="11"/>
      <c r="J8" s="10"/>
      <c r="K8" s="10"/>
      <c r="L8" s="11"/>
      <c r="M8" s="11"/>
    </row>
    <row r="9" customFormat="false" ht="15" hidden="false" customHeight="false" outlineLevel="0" collapsed="false">
      <c r="A9" s="4" t="s">
        <v>105</v>
      </c>
      <c r="B9" s="4" t="s">
        <v>195</v>
      </c>
      <c r="C9" s="9" t="s">
        <v>190</v>
      </c>
      <c r="D9" s="5" t="s">
        <v>109</v>
      </c>
      <c r="E9" s="5" t="s">
        <v>109</v>
      </c>
      <c r="F9" s="5" t="n">
        <f aca="false">SUMPRODUCT(('Sprint Planning'!A5:A50="S6")*('Sprint Planning'!I5:I50))</f>
        <v>21</v>
      </c>
      <c r="G9" s="11"/>
      <c r="H9" s="11"/>
      <c r="I9" s="11"/>
      <c r="J9" s="11"/>
      <c r="K9" s="10"/>
      <c r="L9" s="11"/>
      <c r="M9" s="11"/>
    </row>
    <row r="10" customFormat="false" ht="15" hidden="false" customHeight="false" outlineLevel="0" collapsed="false">
      <c r="A10" s="4" t="s">
        <v>123</v>
      </c>
      <c r="B10" s="4" t="s">
        <v>196</v>
      </c>
      <c r="C10" s="9" t="s">
        <v>190</v>
      </c>
      <c r="D10" s="5" t="s">
        <v>127</v>
      </c>
      <c r="E10" s="5" t="s">
        <v>128</v>
      </c>
      <c r="F10" s="5" t="n">
        <f aca="false">SUMPRODUCT(('Sprint Planning'!A5:A50="S7")*('Sprint Planning'!I5:I50))</f>
        <v>45</v>
      </c>
      <c r="G10" s="11"/>
      <c r="H10" s="11"/>
      <c r="I10" s="11"/>
      <c r="J10" s="11"/>
      <c r="K10" s="11"/>
      <c r="L10" s="10"/>
      <c r="M10" s="10"/>
    </row>
    <row r="11" customFormat="false" ht="15" hidden="false" customHeight="false" outlineLevel="0" collapsed="false">
      <c r="A11" s="4" t="s">
        <v>153</v>
      </c>
      <c r="B11" s="4" t="s">
        <v>197</v>
      </c>
      <c r="C11" s="12" t="s">
        <v>198</v>
      </c>
      <c r="D11" s="5"/>
      <c r="E11" s="5"/>
      <c r="F11" s="5" t="n">
        <f aca="false">SUMPRODUCT(('Sprint Planning'!A5:A50="S8")*('Sprint Planning'!I5:I50))</f>
        <v>32</v>
      </c>
      <c r="G11" s="11"/>
      <c r="H11" s="11"/>
      <c r="I11" s="11"/>
      <c r="J11" s="11"/>
      <c r="K11" s="11"/>
      <c r="L11" s="11"/>
      <c r="M11" s="11"/>
    </row>
    <row r="13" customFormat="false" ht="15" hidden="false" customHeight="false" outlineLevel="0" collapsed="false">
      <c r="A13" s="13" t="s">
        <v>199</v>
      </c>
    </row>
    <row r="14" customFormat="false" ht="15" hidden="false" customHeight="false" outlineLevel="0" collapsed="false">
      <c r="A14" s="0" t="s">
        <v>200</v>
      </c>
      <c r="B14" s="0" t="n">
        <f aca="false">ROUND(SUMPRODUCT((B4:B11&lt;&gt;"")*1*(F4:F11))/COUNTIF(C4:C11,"CLOSED"),1)</f>
        <v>28.1</v>
      </c>
    </row>
  </sheetData>
  <mergeCells count="1">
    <mergeCell ref="A1:P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9800"/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5"/>
    <col collapsed="false" customWidth="true" hidden="false" outlineLevel="0" max="3" min="3" style="0" width="30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50"/>
  </cols>
  <sheetData>
    <row r="1" customFormat="false" ht="17.35" hidden="false" customHeight="false" outlineLevel="0" collapsed="false">
      <c r="A1" s="1" t="s">
        <v>201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3" t="s">
        <v>202</v>
      </c>
      <c r="B3" s="3" t="s">
        <v>203</v>
      </c>
      <c r="C3" s="3" t="s">
        <v>204</v>
      </c>
      <c r="D3" s="3" t="s">
        <v>5</v>
      </c>
      <c r="E3" s="3" t="s">
        <v>7</v>
      </c>
      <c r="F3" s="3" t="s">
        <v>205</v>
      </c>
      <c r="G3" s="3" t="s">
        <v>11</v>
      </c>
    </row>
    <row r="4" customFormat="false" ht="15" hidden="false" customHeight="false" outlineLevel="0" collapsed="false">
      <c r="A4" s="4" t="s">
        <v>206</v>
      </c>
      <c r="B4" s="4" t="s">
        <v>207</v>
      </c>
      <c r="C4" s="5" t="s">
        <v>208</v>
      </c>
      <c r="D4" s="5" t="s">
        <v>209</v>
      </c>
      <c r="E4" s="6" t="s">
        <v>210</v>
      </c>
      <c r="F4" s="14" t="s">
        <v>211</v>
      </c>
      <c r="G4" s="5" t="s">
        <v>212</v>
      </c>
    </row>
    <row r="5" customFormat="false" ht="15" hidden="false" customHeight="false" outlineLevel="0" collapsed="false">
      <c r="A5" s="4" t="s">
        <v>213</v>
      </c>
      <c r="B5" s="4" t="s">
        <v>214</v>
      </c>
      <c r="C5" s="5" t="s">
        <v>207</v>
      </c>
      <c r="D5" s="5" t="s">
        <v>215</v>
      </c>
      <c r="E5" s="6" t="s">
        <v>210</v>
      </c>
      <c r="F5" s="14" t="s">
        <v>211</v>
      </c>
      <c r="G5" s="5" t="s">
        <v>216</v>
      </c>
    </row>
    <row r="6" customFormat="false" ht="15" hidden="false" customHeight="false" outlineLevel="0" collapsed="false">
      <c r="A6" s="4" t="s">
        <v>217</v>
      </c>
      <c r="B6" s="4" t="s">
        <v>218</v>
      </c>
      <c r="C6" s="5" t="s">
        <v>219</v>
      </c>
      <c r="D6" s="5" t="s">
        <v>215</v>
      </c>
      <c r="E6" s="6" t="s">
        <v>210</v>
      </c>
      <c r="F6" s="14" t="s">
        <v>211</v>
      </c>
      <c r="G6" s="5" t="s">
        <v>220</v>
      </c>
    </row>
    <row r="7" customFormat="false" ht="15" hidden="false" customHeight="false" outlineLevel="0" collapsed="false">
      <c r="A7" s="4" t="s">
        <v>221</v>
      </c>
      <c r="B7" s="4" t="s">
        <v>222</v>
      </c>
      <c r="C7" s="5" t="s">
        <v>223</v>
      </c>
      <c r="D7" s="5" t="s">
        <v>215</v>
      </c>
      <c r="E7" s="6" t="s">
        <v>210</v>
      </c>
      <c r="F7" s="14" t="s">
        <v>211</v>
      </c>
      <c r="G7" s="5" t="s">
        <v>224</v>
      </c>
    </row>
    <row r="8" customFormat="false" ht="15" hidden="false" customHeight="false" outlineLevel="0" collapsed="false">
      <c r="A8" s="4" t="s">
        <v>225</v>
      </c>
      <c r="B8" s="4" t="s">
        <v>226</v>
      </c>
      <c r="C8" s="5" t="s">
        <v>208</v>
      </c>
      <c r="D8" s="5" t="s">
        <v>209</v>
      </c>
      <c r="E8" s="6" t="s">
        <v>210</v>
      </c>
      <c r="F8" s="7" t="s">
        <v>227</v>
      </c>
      <c r="G8" s="5" t="s">
        <v>228</v>
      </c>
    </row>
    <row r="9" customFormat="false" ht="15" hidden="false" customHeight="false" outlineLevel="0" collapsed="false">
      <c r="A9" s="4" t="s">
        <v>229</v>
      </c>
      <c r="B9" s="4" t="s">
        <v>230</v>
      </c>
      <c r="C9" s="5" t="s">
        <v>231</v>
      </c>
      <c r="D9" s="5" t="s">
        <v>215</v>
      </c>
      <c r="E9" s="6" t="s">
        <v>210</v>
      </c>
      <c r="F9" s="15" t="s">
        <v>232</v>
      </c>
      <c r="G9" s="5" t="s">
        <v>233</v>
      </c>
    </row>
    <row r="10" customFormat="false" ht="15" hidden="false" customHeight="false" outlineLevel="0" collapsed="false">
      <c r="A10" s="4" t="s">
        <v>234</v>
      </c>
      <c r="B10" s="4" t="s">
        <v>235</v>
      </c>
      <c r="C10" s="5" t="s">
        <v>208</v>
      </c>
      <c r="D10" s="5" t="s">
        <v>209</v>
      </c>
      <c r="E10" s="6" t="s">
        <v>210</v>
      </c>
      <c r="F10" s="14" t="s">
        <v>211</v>
      </c>
      <c r="G10" s="5" t="s">
        <v>236</v>
      </c>
    </row>
    <row r="11" customFormat="false" ht="15" hidden="false" customHeight="false" outlineLevel="0" collapsed="false">
      <c r="A11" s="4" t="s">
        <v>237</v>
      </c>
      <c r="B11" s="4" t="s">
        <v>238</v>
      </c>
      <c r="C11" s="5" t="s">
        <v>239</v>
      </c>
      <c r="D11" s="5" t="s">
        <v>215</v>
      </c>
      <c r="E11" s="6" t="s">
        <v>210</v>
      </c>
      <c r="F11" s="7" t="s">
        <v>227</v>
      </c>
      <c r="G11" s="5" t="s">
        <v>240</v>
      </c>
    </row>
    <row r="12" customFormat="false" ht="15" hidden="false" customHeight="false" outlineLevel="0" collapsed="false">
      <c r="A12" s="4" t="s">
        <v>241</v>
      </c>
      <c r="B12" s="4" t="s">
        <v>242</v>
      </c>
      <c r="C12" s="5" t="s">
        <v>243</v>
      </c>
      <c r="D12" s="5" t="s">
        <v>215</v>
      </c>
      <c r="E12" s="6" t="s">
        <v>210</v>
      </c>
      <c r="F12" s="15" t="s">
        <v>232</v>
      </c>
      <c r="G12" s="5" t="s">
        <v>244</v>
      </c>
    </row>
    <row r="13" customFormat="false" ht="15" hidden="false" customHeight="false" outlineLevel="0" collapsed="false">
      <c r="A13" s="4" t="s">
        <v>245</v>
      </c>
      <c r="B13" s="4" t="s">
        <v>246</v>
      </c>
      <c r="C13" s="5" t="s">
        <v>247</v>
      </c>
      <c r="D13" s="5" t="s">
        <v>215</v>
      </c>
      <c r="E13" s="6" t="s">
        <v>210</v>
      </c>
      <c r="F13" s="15" t="s">
        <v>232</v>
      </c>
      <c r="G13" s="5" t="s">
        <v>248</v>
      </c>
    </row>
    <row r="14" customFormat="false" ht="15" hidden="false" customHeight="false" outlineLevel="0" collapsed="false">
      <c r="A14" s="4" t="s">
        <v>249</v>
      </c>
      <c r="B14" s="4" t="s">
        <v>250</v>
      </c>
      <c r="C14" s="5" t="s">
        <v>251</v>
      </c>
      <c r="D14" s="5" t="s">
        <v>215</v>
      </c>
      <c r="E14" s="6" t="s">
        <v>210</v>
      </c>
      <c r="F14" s="15" t="s">
        <v>232</v>
      </c>
      <c r="G14" s="5" t="s">
        <v>252</v>
      </c>
    </row>
    <row r="15" customFormat="false" ht="15" hidden="false" customHeight="false" outlineLevel="0" collapsed="false">
      <c r="A15" s="4" t="s">
        <v>253</v>
      </c>
      <c r="B15" s="4" t="s">
        <v>254</v>
      </c>
      <c r="C15" s="5" t="s">
        <v>255</v>
      </c>
      <c r="D15" s="5" t="s">
        <v>215</v>
      </c>
      <c r="E15" s="6" t="s">
        <v>210</v>
      </c>
      <c r="F15" s="15" t="s">
        <v>232</v>
      </c>
      <c r="G15" s="5" t="s">
        <v>256</v>
      </c>
    </row>
    <row r="16" customFormat="false" ht="15" hidden="false" customHeight="false" outlineLevel="0" collapsed="false">
      <c r="A16" s="4" t="s">
        <v>257</v>
      </c>
      <c r="B16" s="4" t="s">
        <v>258</v>
      </c>
      <c r="C16" s="5" t="s">
        <v>259</v>
      </c>
      <c r="D16" s="5" t="s">
        <v>215</v>
      </c>
      <c r="E16" s="6" t="s">
        <v>210</v>
      </c>
      <c r="F16" s="7" t="s">
        <v>227</v>
      </c>
      <c r="G16" s="5" t="s">
        <v>260</v>
      </c>
    </row>
    <row r="17" customFormat="false" ht="15" hidden="false" customHeight="false" outlineLevel="0" collapsed="false">
      <c r="A17" s="4" t="s">
        <v>261</v>
      </c>
      <c r="B17" s="4" t="s">
        <v>262</v>
      </c>
      <c r="C17" s="5" t="s">
        <v>263</v>
      </c>
      <c r="D17" s="5" t="s">
        <v>215</v>
      </c>
      <c r="E17" s="6" t="s">
        <v>210</v>
      </c>
      <c r="F17" s="7" t="s">
        <v>227</v>
      </c>
      <c r="G17" s="5" t="s">
        <v>264</v>
      </c>
    </row>
    <row r="18" customFormat="false" ht="15" hidden="false" customHeight="false" outlineLevel="0" collapsed="false">
      <c r="A18" s="4" t="s">
        <v>265</v>
      </c>
      <c r="B18" s="4" t="s">
        <v>266</v>
      </c>
      <c r="C18" s="5" t="s">
        <v>267</v>
      </c>
      <c r="D18" s="5" t="s">
        <v>215</v>
      </c>
      <c r="E18" s="7" t="s">
        <v>268</v>
      </c>
      <c r="F18" s="15" t="s">
        <v>232</v>
      </c>
      <c r="G18" s="5" t="s">
        <v>269</v>
      </c>
    </row>
    <row r="19" customFormat="false" ht="15" hidden="false" customHeight="false" outlineLevel="0" collapsed="false">
      <c r="A19" s="4" t="s">
        <v>270</v>
      </c>
      <c r="B19" s="4" t="s">
        <v>271</v>
      </c>
      <c r="C19" s="5" t="s">
        <v>272</v>
      </c>
      <c r="D19" s="5" t="s">
        <v>215</v>
      </c>
      <c r="E19" s="7" t="s">
        <v>268</v>
      </c>
      <c r="F19" s="14" t="s">
        <v>211</v>
      </c>
      <c r="G19" s="5" t="s">
        <v>273</v>
      </c>
    </row>
    <row r="20" customFormat="false" ht="15" hidden="false" customHeight="false" outlineLevel="0" collapsed="false">
      <c r="A20" s="4" t="s">
        <v>274</v>
      </c>
      <c r="B20" s="4" t="s">
        <v>275</v>
      </c>
      <c r="C20" s="5" t="s">
        <v>208</v>
      </c>
      <c r="D20" s="5" t="s">
        <v>209</v>
      </c>
      <c r="E20" s="7" t="s">
        <v>268</v>
      </c>
      <c r="F20" s="7" t="s">
        <v>227</v>
      </c>
      <c r="G20" s="5" t="s">
        <v>276</v>
      </c>
    </row>
    <row r="21" customFormat="false" ht="15" hidden="false" customHeight="false" outlineLevel="0" collapsed="false">
      <c r="A21" s="4" t="s">
        <v>277</v>
      </c>
      <c r="B21" s="4" t="s">
        <v>278</v>
      </c>
      <c r="C21" s="5" t="s">
        <v>279</v>
      </c>
      <c r="D21" s="5" t="s">
        <v>215</v>
      </c>
      <c r="E21" s="7" t="s">
        <v>268</v>
      </c>
      <c r="F21" s="7" t="s">
        <v>227</v>
      </c>
      <c r="G21" s="5" t="s">
        <v>280</v>
      </c>
    </row>
    <row r="22" customFormat="false" ht="15" hidden="false" customHeight="false" outlineLevel="0" collapsed="false">
      <c r="A22" s="4" t="s">
        <v>281</v>
      </c>
      <c r="B22" s="4" t="s">
        <v>282</v>
      </c>
      <c r="C22" s="5" t="s">
        <v>283</v>
      </c>
      <c r="D22" s="5" t="s">
        <v>215</v>
      </c>
      <c r="E22" s="7" t="s">
        <v>268</v>
      </c>
      <c r="F22" s="14" t="s">
        <v>211</v>
      </c>
      <c r="G22" s="5" t="s">
        <v>284</v>
      </c>
    </row>
  </sheetData>
  <autoFilter ref="A3:G22"/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CAF50"/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70"/>
  </cols>
  <sheetData>
    <row r="1" customFormat="false" ht="17.35" hidden="false" customHeight="false" outlineLevel="0" collapsed="false">
      <c r="A1" s="1" t="s">
        <v>285</v>
      </c>
      <c r="B1" s="1"/>
      <c r="C1" s="1"/>
      <c r="D1" s="1"/>
      <c r="E1" s="1"/>
      <c r="F1" s="1"/>
    </row>
    <row r="3" customFormat="false" ht="26.85" hidden="false" customHeight="false" outlineLevel="0" collapsed="false">
      <c r="A3" s="3" t="s">
        <v>2</v>
      </c>
      <c r="B3" s="3" t="s">
        <v>286</v>
      </c>
      <c r="C3" s="3" t="s">
        <v>287</v>
      </c>
      <c r="D3" s="3" t="s">
        <v>7</v>
      </c>
      <c r="E3" s="3" t="s">
        <v>288</v>
      </c>
      <c r="F3" s="3" t="s">
        <v>289</v>
      </c>
    </row>
    <row r="4" customFormat="false" ht="23.85" hidden="false" customHeight="false" outlineLevel="0" collapsed="false">
      <c r="A4" s="4" t="s">
        <v>12</v>
      </c>
      <c r="B4" s="4" t="s">
        <v>290</v>
      </c>
      <c r="C4" s="5" t="s">
        <v>291</v>
      </c>
      <c r="D4" s="6" t="s">
        <v>292</v>
      </c>
      <c r="E4" s="5" t="s">
        <v>18</v>
      </c>
      <c r="F4" s="5" t="s">
        <v>293</v>
      </c>
    </row>
    <row r="5" customFormat="false" ht="23.85" hidden="false" customHeight="false" outlineLevel="0" collapsed="false">
      <c r="A5" s="4" t="s">
        <v>28</v>
      </c>
      <c r="B5" s="4" t="s">
        <v>294</v>
      </c>
      <c r="C5" s="5" t="s">
        <v>22</v>
      </c>
      <c r="D5" s="6" t="s">
        <v>292</v>
      </c>
      <c r="E5" s="5" t="s">
        <v>18</v>
      </c>
      <c r="F5" s="5" t="s">
        <v>295</v>
      </c>
    </row>
    <row r="6" customFormat="false" ht="15" hidden="false" customHeight="false" outlineLevel="0" collapsed="false">
      <c r="A6" s="4" t="s">
        <v>48</v>
      </c>
      <c r="B6" s="4" t="s">
        <v>296</v>
      </c>
      <c r="C6" s="5" t="s">
        <v>51</v>
      </c>
      <c r="D6" s="6" t="s">
        <v>292</v>
      </c>
      <c r="E6" s="5" t="s">
        <v>18</v>
      </c>
      <c r="F6" s="5" t="s">
        <v>297</v>
      </c>
    </row>
    <row r="7" customFormat="false" ht="23.85" hidden="false" customHeight="false" outlineLevel="0" collapsed="false">
      <c r="A7" s="4" t="s">
        <v>57</v>
      </c>
      <c r="B7" s="4" t="s">
        <v>298</v>
      </c>
      <c r="C7" s="5" t="s">
        <v>299</v>
      </c>
      <c r="D7" s="6" t="s">
        <v>292</v>
      </c>
      <c r="E7" s="5" t="s">
        <v>300</v>
      </c>
      <c r="F7" s="5" t="s">
        <v>301</v>
      </c>
    </row>
    <row r="8" customFormat="false" ht="23.85" hidden="false" customHeight="false" outlineLevel="0" collapsed="false">
      <c r="A8" s="4" t="s">
        <v>79</v>
      </c>
      <c r="B8" s="4" t="s">
        <v>302</v>
      </c>
      <c r="C8" s="5" t="s">
        <v>303</v>
      </c>
      <c r="D8" s="6" t="s">
        <v>292</v>
      </c>
      <c r="E8" s="5" t="s">
        <v>304</v>
      </c>
      <c r="F8" s="5" t="s">
        <v>305</v>
      </c>
    </row>
    <row r="9" customFormat="false" ht="23.85" hidden="false" customHeight="false" outlineLevel="0" collapsed="false">
      <c r="A9" s="4" t="s">
        <v>105</v>
      </c>
      <c r="B9" s="4" t="s">
        <v>306</v>
      </c>
      <c r="C9" s="5" t="s">
        <v>307</v>
      </c>
      <c r="D9" s="6" t="s">
        <v>292</v>
      </c>
      <c r="E9" s="5" t="s">
        <v>308</v>
      </c>
      <c r="F9" s="5" t="s">
        <v>309</v>
      </c>
    </row>
    <row r="10" customFormat="false" ht="23.85" hidden="false" customHeight="false" outlineLevel="0" collapsed="false">
      <c r="A10" s="4" t="s">
        <v>123</v>
      </c>
      <c r="B10" s="4" t="s">
        <v>310</v>
      </c>
      <c r="C10" s="5" t="s">
        <v>303</v>
      </c>
      <c r="D10" s="6" t="s">
        <v>292</v>
      </c>
      <c r="E10" s="5" t="s">
        <v>311</v>
      </c>
      <c r="F10" s="5" t="s">
        <v>312</v>
      </c>
    </row>
    <row r="11" customFormat="false" ht="23.85" hidden="false" customHeight="false" outlineLevel="0" collapsed="false">
      <c r="A11" s="4" t="s">
        <v>153</v>
      </c>
      <c r="B11" s="4" t="s">
        <v>313</v>
      </c>
      <c r="C11" s="5" t="s">
        <v>303</v>
      </c>
      <c r="D11" s="16" t="s">
        <v>314</v>
      </c>
      <c r="E11" s="5"/>
      <c r="F11" s="5" t="s">
        <v>315</v>
      </c>
    </row>
  </sheetData>
  <autoFilter ref="A3:F11"/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C27B0"/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5" min="4" style="0" width="12"/>
    <col collapsed="false" customWidth="true" hidden="false" outlineLevel="0" max="6" min="6" style="0" width="14"/>
    <col collapsed="false" customWidth="true" hidden="false" outlineLevel="0" max="8" min="7" style="0" width="16"/>
  </cols>
  <sheetData>
    <row r="1" customFormat="false" ht="17.35" hidden="false" customHeight="false" outlineLevel="0" collapsed="false">
      <c r="A1" s="1" t="s">
        <v>316</v>
      </c>
      <c r="B1" s="1"/>
      <c r="C1" s="1"/>
      <c r="D1" s="1"/>
      <c r="E1" s="1"/>
      <c r="F1" s="1"/>
      <c r="G1" s="1"/>
      <c r="H1" s="1"/>
    </row>
    <row r="3" customFormat="false" ht="26.85" hidden="false" customHeight="false" outlineLevel="0" collapsed="false">
      <c r="A3" s="3" t="s">
        <v>2</v>
      </c>
      <c r="B3" s="3" t="s">
        <v>317</v>
      </c>
      <c r="C3" s="3" t="s">
        <v>318</v>
      </c>
      <c r="D3" s="3" t="s">
        <v>319</v>
      </c>
      <c r="E3" s="3" t="s">
        <v>320</v>
      </c>
      <c r="F3" s="3" t="s">
        <v>321</v>
      </c>
      <c r="G3" s="3" t="s">
        <v>322</v>
      </c>
      <c r="H3" s="3" t="s">
        <v>323</v>
      </c>
    </row>
    <row r="4" customFormat="false" ht="15" hidden="false" customHeight="false" outlineLevel="0" collapsed="false">
      <c r="A4" s="4" t="s">
        <v>12</v>
      </c>
      <c r="B4" s="4" t="n">
        <v>10</v>
      </c>
      <c r="C4" s="5" t="n">
        <v>10</v>
      </c>
      <c r="D4" s="5" t="n">
        <v>3</v>
      </c>
      <c r="E4" s="5" t="n">
        <v>3</v>
      </c>
      <c r="F4" s="17" t="n">
        <f aca="false">IF(B4=0,0,C4/B4)</f>
        <v>1</v>
      </c>
      <c r="G4" s="5" t="n">
        <v>2</v>
      </c>
      <c r="H4" s="18" t="n">
        <f aca="false">IF(G4="-","-",C4/G4)</f>
        <v>5</v>
      </c>
    </row>
    <row r="5" customFormat="false" ht="15" hidden="false" customHeight="false" outlineLevel="0" collapsed="false">
      <c r="A5" s="4" t="s">
        <v>28</v>
      </c>
      <c r="B5" s="4" t="n">
        <v>18</v>
      </c>
      <c r="C5" s="5" t="n">
        <v>18</v>
      </c>
      <c r="D5" s="5" t="n">
        <v>6</v>
      </c>
      <c r="E5" s="5" t="n">
        <v>6</v>
      </c>
      <c r="F5" s="17" t="n">
        <f aca="false">IF(B5=0,0,C5/B5)</f>
        <v>1</v>
      </c>
      <c r="G5" s="5" t="n">
        <v>3</v>
      </c>
      <c r="H5" s="18" t="n">
        <f aca="false">IF(G5="-","-",C5/G5)</f>
        <v>6</v>
      </c>
    </row>
    <row r="6" customFormat="false" ht="15" hidden="false" customHeight="false" outlineLevel="0" collapsed="false">
      <c r="A6" s="4" t="s">
        <v>48</v>
      </c>
      <c r="B6" s="4" t="n">
        <v>11</v>
      </c>
      <c r="C6" s="5" t="n">
        <v>11</v>
      </c>
      <c r="D6" s="5" t="n">
        <v>2</v>
      </c>
      <c r="E6" s="5" t="n">
        <v>2</v>
      </c>
      <c r="F6" s="17" t="n">
        <f aca="false">IF(B6=0,0,C6/B6)</f>
        <v>1</v>
      </c>
      <c r="G6" s="5" t="n">
        <v>2</v>
      </c>
      <c r="H6" s="18" t="n">
        <f aca="false">IF(G6="-","-",C6/G6)</f>
        <v>5.5</v>
      </c>
    </row>
    <row r="7" customFormat="false" ht="15" hidden="false" customHeight="false" outlineLevel="0" collapsed="false">
      <c r="A7" s="4" t="s">
        <v>57</v>
      </c>
      <c r="B7" s="4" t="n">
        <v>21</v>
      </c>
      <c r="C7" s="5" t="n">
        <v>21</v>
      </c>
      <c r="D7" s="5" t="n">
        <v>5</v>
      </c>
      <c r="E7" s="5" t="n">
        <v>5</v>
      </c>
      <c r="F7" s="17" t="n">
        <f aca="false">IF(B7=0,0,C7/B7)</f>
        <v>1</v>
      </c>
      <c r="G7" s="5" t="n">
        <v>1</v>
      </c>
      <c r="H7" s="18" t="n">
        <f aca="false">IF(G7="-","-",C7/G7)</f>
        <v>21</v>
      </c>
    </row>
    <row r="8" customFormat="false" ht="15" hidden="false" customHeight="false" outlineLevel="0" collapsed="false">
      <c r="A8" s="4" t="s">
        <v>79</v>
      </c>
      <c r="B8" s="4" t="n">
        <v>39</v>
      </c>
      <c r="C8" s="5" t="n">
        <v>39</v>
      </c>
      <c r="D8" s="5" t="n">
        <v>6</v>
      </c>
      <c r="E8" s="5" t="n">
        <v>6</v>
      </c>
      <c r="F8" s="17" t="n">
        <f aca="false">IF(B8=0,0,C8/B8)</f>
        <v>1</v>
      </c>
      <c r="G8" s="5" t="n">
        <v>2</v>
      </c>
      <c r="H8" s="18" t="n">
        <f aca="false">IF(G8="-","-",C8/G8)</f>
        <v>19.5</v>
      </c>
    </row>
    <row r="9" customFormat="false" ht="15" hidden="false" customHeight="false" outlineLevel="0" collapsed="false">
      <c r="A9" s="4" t="s">
        <v>105</v>
      </c>
      <c r="B9" s="4" t="n">
        <v>21</v>
      </c>
      <c r="C9" s="5" t="n">
        <v>21</v>
      </c>
      <c r="D9" s="5" t="n">
        <v>4</v>
      </c>
      <c r="E9" s="5" t="n">
        <v>4</v>
      </c>
      <c r="F9" s="17" t="n">
        <f aca="false">IF(B9=0,0,C9/B9)</f>
        <v>1</v>
      </c>
      <c r="G9" s="5" t="n">
        <v>1</v>
      </c>
      <c r="H9" s="18" t="n">
        <f aca="false">IF(G9="-","-",C9/G9)</f>
        <v>21</v>
      </c>
    </row>
    <row r="10" customFormat="false" ht="15" hidden="false" customHeight="false" outlineLevel="0" collapsed="false">
      <c r="A10" s="4" t="s">
        <v>123</v>
      </c>
      <c r="B10" s="4" t="n">
        <v>45</v>
      </c>
      <c r="C10" s="5" t="n">
        <v>45</v>
      </c>
      <c r="D10" s="5" t="n">
        <v>7</v>
      </c>
      <c r="E10" s="5" t="n">
        <v>7</v>
      </c>
      <c r="F10" s="17" t="n">
        <f aca="false">IF(B10=0,0,C10/B10)</f>
        <v>1</v>
      </c>
      <c r="G10" s="5" t="n">
        <v>6</v>
      </c>
      <c r="H10" s="18" t="n">
        <f aca="false">IF(G10="-","-",C10/G10)</f>
        <v>7.5</v>
      </c>
    </row>
    <row r="11" customFormat="false" ht="15" hidden="false" customHeight="false" outlineLevel="0" collapsed="false">
      <c r="A11" s="4" t="s">
        <v>153</v>
      </c>
      <c r="B11" s="4" t="n">
        <v>32</v>
      </c>
      <c r="C11" s="5" t="n">
        <v>0</v>
      </c>
      <c r="D11" s="5" t="n">
        <v>5</v>
      </c>
      <c r="E11" s="5" t="n">
        <v>0</v>
      </c>
      <c r="F11" s="19" t="n">
        <f aca="false">IF(B11=0,0,C11/B11)</f>
        <v>0</v>
      </c>
      <c r="G11" s="5" t="s">
        <v>208</v>
      </c>
      <c r="H11" s="5" t="s">
        <v>208</v>
      </c>
    </row>
    <row r="13" customFormat="false" ht="15" hidden="false" customHeight="false" outlineLevel="0" collapsed="false">
      <c r="A13" s="20" t="s">
        <v>324</v>
      </c>
      <c r="B13" s="20" t="n">
        <f aca="false">SUM(B4:B11)</f>
        <v>197</v>
      </c>
      <c r="C13" s="20" t="n">
        <f aca="false">SUM(C4:C11)</f>
        <v>165</v>
      </c>
      <c r="D13" s="20" t="n">
        <f aca="false">SUM(D4:D11)</f>
        <v>38</v>
      </c>
      <c r="E13" s="20" t="n">
        <f aca="false">SUM(E4:E11)</f>
        <v>33</v>
      </c>
      <c r="F13" s="21" t="n">
        <f aca="false">IF(B13=0,0,C13/B13)</f>
        <v>0.83756345177665</v>
      </c>
      <c r="G13" s="20"/>
      <c r="H13" s="20"/>
    </row>
    <row r="14" customFormat="false" ht="15" hidden="false" customHeight="false" outlineLevel="0" collapsed="false">
      <c r="A14" s="22" t="s">
        <v>325</v>
      </c>
      <c r="B14" s="0" t="n">
        <f aca="false">ROUND(AVERAGE(B4:B11),1)</f>
        <v>24.6</v>
      </c>
      <c r="C14" s="0" t="n">
        <f aca="false">ROUND(AVERAGE(C4:C10),1)</f>
        <v>23.6</v>
      </c>
      <c r="H14" s="0" t="n">
        <f aca="false">ROUND(C13/SUM(G4:G10),1)</f>
        <v>9.7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2026-04-07T04:34:18Z</dcterms:created>
  <dc:creator>openpyxl</dc:creator>
  <dc:description/>
  <dc:language>en-US</dc:language>
  <cp:lastModifiedBy/>
  <dcterms:modified xsi:type="dcterms:W3CDTF">2026-04-07T04:34:18Z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