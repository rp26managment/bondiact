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ón Inicial" sheetId="1" state="visible" r:id="rId1"/>
    <sheet xmlns:r="http://schemas.openxmlformats.org/officeDocument/2006/relationships" name="Costos Mensuales" sheetId="2" state="visible" r:id="rId2"/>
    <sheet xmlns:r="http://schemas.openxmlformats.org/officeDocument/2006/relationships" name="Escenario Ingresos" sheetId="3" state="visible" r:id="rId3"/>
    <sheet xmlns:r="http://schemas.openxmlformats.org/officeDocument/2006/relationships" name="Resumen 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FF"/>
      <sz val="11"/>
    </font>
    <font>
      <name val="Arial"/>
      <b val="1"/>
      <color rgb="00000000"/>
      <sz val="12"/>
    </font>
    <font>
      <name val="Arial"/>
      <b val="1"/>
      <sz val="12"/>
    </font>
    <font>
      <name val="Arial"/>
      <b val="1"/>
      <color rgb="0000897B"/>
      <sz val="14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E8F5E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4" fillId="0" borderId="1" pivotButton="0" quotePrefix="0" xfId="0"/>
    <xf numFmtId="0" fontId="3" fillId="4" borderId="1" pivotButton="0" quotePrefix="0" xfId="0"/>
    <xf numFmtId="164" fontId="5" fillId="4" borderId="1" pivotButton="0" quotePrefix="0" xfId="0"/>
    <xf numFmtId="164" fontId="6" fillId="4" borderId="1" pivotButton="0" quotePrefix="0" xfId="0"/>
    <xf numFmtId="165" fontId="4" fillId="0" borderId="1" pivotButton="0" quotePrefix="0" xfId="0"/>
    <xf numFmtId="0" fontId="5" fillId="4" borderId="1" pivotButton="0" quotePrefix="0" xfId="0"/>
    <xf numFmtId="164" fontId="3" fillId="4" borderId="1" pivotButton="0" quotePrefix="0" xfId="0"/>
    <xf numFmtId="165" fontId="2" fillId="0" borderId="1" pivotButton="0" quotePrefix="0" xfId="0"/>
    <xf numFmtId="0" fontId="7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36" customWidth="1" min="4" max="4"/>
  </cols>
  <sheetData>
    <row r="1">
      <c r="A1" s="1" t="inlineStr">
        <is>
          <t>Concepto</t>
        </is>
      </c>
      <c r="B1" s="1" t="inlineStr">
        <is>
          <t>Costo MXN</t>
        </is>
      </c>
      <c r="C1" s="1" t="inlineStr">
        <is>
          <t>Frecuencia</t>
        </is>
      </c>
      <c r="D1" s="1" t="inlineStr">
        <is>
          <t>Notas</t>
        </is>
      </c>
    </row>
    <row r="2">
      <c r="A2" s="2" t="inlineStr">
        <is>
          <t>── YA TIENES (Costo $0) ──</t>
        </is>
      </c>
      <c r="B2" s="3" t="inlineStr"/>
      <c r="C2" s="3" t="inlineStr"/>
      <c r="D2" s="3" t="inlineStr"/>
    </row>
    <row r="3">
      <c r="A3" s="3" t="inlineStr">
        <is>
          <t>MacBook Air</t>
        </is>
      </c>
      <c r="B3" s="4" t="n">
        <v>0</v>
      </c>
      <c r="C3" s="3" t="inlineStr">
        <is>
          <t>Ya lo tienes</t>
        </is>
      </c>
      <c r="D3" s="3" t="inlineStr">
        <is>
          <t>Equipo actual</t>
        </is>
      </c>
    </row>
    <row r="4">
      <c r="A4" s="3" t="inlineStr">
        <is>
          <t>Dominio bondiact.io</t>
        </is>
      </c>
      <c r="B4" s="4" t="n">
        <v>0</v>
      </c>
      <c r="C4" s="3" t="inlineStr">
        <is>
          <t>Ya pagado</t>
        </is>
      </c>
      <c r="D4" s="3" t="inlineStr">
        <is>
          <t>Registro existente</t>
        </is>
      </c>
    </row>
    <row r="5">
      <c r="A5" s="3" t="inlineStr">
        <is>
          <t>Vercel (Hobby plan)</t>
        </is>
      </c>
      <c r="B5" s="4" t="n">
        <v>0</v>
      </c>
      <c r="C5" s="3" t="inlineStr">
        <is>
          <t>Gratis</t>
        </is>
      </c>
      <c r="D5" s="3" t="inlineStr">
        <is>
          <t>Deploy automático</t>
        </is>
      </c>
    </row>
    <row r="6">
      <c r="A6" s="3" t="inlineStr">
        <is>
          <t>Supabase (Free tier)</t>
        </is>
      </c>
      <c r="B6" s="4" t="n">
        <v>0</v>
      </c>
      <c r="C6" s="3" t="inlineStr">
        <is>
          <t>Gratis</t>
        </is>
      </c>
      <c r="D6" s="3" t="inlineStr">
        <is>
          <t>Auth + DB + 500MB</t>
        </is>
      </c>
    </row>
    <row r="7">
      <c r="A7" s="3" t="inlineStr">
        <is>
          <t>GitHub (Free)</t>
        </is>
      </c>
      <c r="B7" s="4" t="n">
        <v>0</v>
      </c>
      <c r="C7" s="3" t="inlineStr">
        <is>
          <t>Gratis</t>
        </is>
      </c>
      <c r="D7" s="3" t="inlineStr">
        <is>
          <t>Repositorio privado</t>
        </is>
      </c>
    </row>
    <row r="8">
      <c r="A8" s="3" t="inlineStr">
        <is>
          <t>WhatsApp Business</t>
        </is>
      </c>
      <c r="B8" s="4" t="n">
        <v>0</v>
      </c>
      <c r="C8" s="3" t="inlineStr">
        <is>
          <t>Gratis</t>
        </is>
      </c>
      <c r="D8" s="3" t="inlineStr">
        <is>
          <t>Canal de ventas</t>
        </is>
      </c>
    </row>
    <row r="9">
      <c r="A9" s="3" t="inlineStr">
        <is>
          <t>Control Tower (10 sprints)</t>
        </is>
      </c>
      <c r="B9" s="4" t="n">
        <v>0</v>
      </c>
      <c r="C9" s="3" t="inlineStr">
        <is>
          <t>Ya construido</t>
        </is>
      </c>
      <c r="D9" s="3" t="inlineStr">
        <is>
          <t>Tu diferenciador</t>
        </is>
      </c>
    </row>
    <row r="10">
      <c r="A10" s="3" t="inlineStr"/>
      <c r="B10" s="3" t="inlineStr"/>
      <c r="C10" s="3" t="inlineStr"/>
      <c r="D10" s="3" t="inlineStr"/>
    </row>
    <row r="11">
      <c r="A11" s="2" t="inlineStr">
        <is>
          <t>── INVERSIÓN NECESARIA ──</t>
        </is>
      </c>
      <c r="B11" s="3" t="inlineStr"/>
      <c r="C11" s="3" t="inlineStr"/>
      <c r="D11" s="3" t="inlineStr"/>
    </row>
    <row r="12">
      <c r="A12" s="3" t="inlineStr">
        <is>
          <t>Línea celular dedicada</t>
        </is>
      </c>
      <c r="B12" s="5" t="n">
        <v>200</v>
      </c>
      <c r="C12" s="3" t="inlineStr">
        <is>
          <t>Mensual</t>
        </is>
      </c>
      <c r="D12" s="3" t="inlineStr">
        <is>
          <t>Si no usas tu número personal</t>
        </is>
      </c>
    </row>
    <row r="13">
      <c r="A13" s="3" t="inlineStr">
        <is>
          <t>Google Workspace (email pro)</t>
        </is>
      </c>
      <c r="B13" s="5" t="n">
        <v>140</v>
      </c>
      <c r="C13" s="3" t="inlineStr">
        <is>
          <t>Mensual</t>
        </is>
      </c>
      <c r="D13" s="3" t="inlineStr">
        <is>
          <t>correo@bondiact.io — credibilidad</t>
        </is>
      </c>
    </row>
    <row r="14">
      <c r="A14" s="3" t="inlineStr">
        <is>
          <t>Tarjetas de presentación</t>
        </is>
      </c>
      <c r="B14" s="5" t="n">
        <v>500</v>
      </c>
      <c r="C14" s="3" t="inlineStr">
        <is>
          <t>Única vez</t>
        </is>
      </c>
      <c r="D14" s="3" t="inlineStr">
        <is>
          <t>500 tarjetas aprox</t>
        </is>
      </c>
    </row>
    <row r="15">
      <c r="A15" s="3" t="inlineStr">
        <is>
          <t>Contingencia / imprevistos</t>
        </is>
      </c>
      <c r="B15" s="5" t="n">
        <v>2000</v>
      </c>
      <c r="C15" s="3" t="inlineStr">
        <is>
          <t>Reserva</t>
        </is>
      </c>
      <c r="D15" s="3" t="inlineStr">
        <is>
          <t>Coffees, transporte, etc.</t>
        </is>
      </c>
    </row>
    <row r="16">
      <c r="A16" s="3" t="inlineStr"/>
      <c r="B16" s="3" t="inlineStr"/>
      <c r="C16" s="3" t="inlineStr"/>
      <c r="D16" s="3" t="inlineStr"/>
    </row>
    <row r="17">
      <c r="A17" s="2" t="inlineStr">
        <is>
          <t>── OPCIONALES (DESPUÉS) ──</t>
        </is>
      </c>
      <c r="B17" s="3" t="inlineStr"/>
      <c r="C17" s="3" t="inlineStr"/>
      <c r="D17" s="3" t="inlineStr"/>
    </row>
    <row r="18">
      <c r="A18" s="3" t="inlineStr">
        <is>
          <t>Vercel Pro (si creces)</t>
        </is>
      </c>
      <c r="B18" s="5" t="n">
        <v>400</v>
      </c>
      <c r="C18" s="3" t="inlineStr">
        <is>
          <t>Mensual</t>
        </is>
      </c>
      <c r="D18" s="3" t="inlineStr">
        <is>
          <t>Solo si &gt;100K visitas/mes</t>
        </is>
      </c>
    </row>
    <row r="19">
      <c r="A19" s="3" t="inlineStr">
        <is>
          <t>Supabase Pro (si creces)</t>
        </is>
      </c>
      <c r="B19" s="5" t="n">
        <v>500</v>
      </c>
      <c r="C19" s="3" t="inlineStr">
        <is>
          <t>Mensual</t>
        </is>
      </c>
      <c r="D19" s="3" t="inlineStr">
        <is>
          <t>Solo si &gt;500 usuarios</t>
        </is>
      </c>
    </row>
    <row r="20">
      <c r="A20" s="3" t="inlineStr">
        <is>
          <t>Logo profesional</t>
        </is>
      </c>
      <c r="B20" s="5" t="n">
        <v>3000</v>
      </c>
      <c r="C20" s="3" t="inlineStr">
        <is>
          <t>Única vez</t>
        </is>
      </c>
      <c r="D20" s="3" t="inlineStr">
        <is>
          <t>Freelancer diseño</t>
        </is>
      </c>
    </row>
    <row r="22">
      <c r="A22" s="6" t="inlineStr">
        <is>
          <t>TOTAL INVERSIÓN MÍNIMA</t>
        </is>
      </c>
      <c r="B22" s="7">
        <f>SUM(B12:B15)</f>
        <v/>
      </c>
      <c r="C22" s="6" t="inlineStr">
        <is>
          <t>Para arrancar HOY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6" customWidth="1" min="3" max="3"/>
  </cols>
  <sheetData>
    <row r="1">
      <c r="A1" s="1" t="inlineStr">
        <is>
          <t>Concepto</t>
        </is>
      </c>
      <c r="B1" s="1" t="inlineStr">
        <is>
          <t>Costo MXN/mes</t>
        </is>
      </c>
      <c r="C1" s="1" t="inlineStr">
        <is>
          <t>Notas</t>
        </is>
      </c>
    </row>
    <row r="2">
      <c r="A2" s="3" t="inlineStr">
        <is>
          <t>Internet (ya lo tienes)</t>
        </is>
      </c>
      <c r="B2" s="4" t="n">
        <v>0</v>
      </c>
      <c r="C2" s="3" t="inlineStr">
        <is>
          <t>Costo existente</t>
        </is>
      </c>
    </row>
    <row r="3">
      <c r="A3" s="3" t="inlineStr">
        <is>
          <t>Celular (ya lo tienes)</t>
        </is>
      </c>
      <c r="B3" s="4" t="n">
        <v>0</v>
      </c>
      <c r="C3" s="3" t="inlineStr">
        <is>
          <t>Costo existente</t>
        </is>
      </c>
    </row>
    <row r="4">
      <c r="A4" s="3" t="inlineStr">
        <is>
          <t>Google Workspace</t>
        </is>
      </c>
      <c r="B4" s="5" t="n">
        <v>140</v>
      </c>
      <c r="C4" s="3" t="inlineStr">
        <is>
          <t>Email profesional</t>
        </is>
      </c>
    </row>
    <row r="5">
      <c r="A5" s="3" t="inlineStr">
        <is>
          <t>Línea dedicada (opcional)</t>
        </is>
      </c>
      <c r="B5" s="5" t="n">
        <v>200</v>
      </c>
      <c r="C5" s="3" t="inlineStr">
        <is>
          <t>Si decides tener otro número</t>
        </is>
      </c>
    </row>
    <row r="6">
      <c r="A6" s="3" t="inlineStr">
        <is>
          <t>Transporte a prospectos</t>
        </is>
      </c>
      <c r="B6" s="5" t="n">
        <v>500</v>
      </c>
      <c r="C6" s="3" t="inlineStr">
        <is>
          <t>Gasolina / Uber — 4 visitas/mes</t>
        </is>
      </c>
    </row>
    <row r="7">
      <c r="A7" s="3" t="inlineStr">
        <is>
          <t>Cafés / comidas de negocio</t>
        </is>
      </c>
      <c r="B7" s="5" t="n">
        <v>400</v>
      </c>
      <c r="C7" s="3" t="inlineStr">
        <is>
          <t>Networking</t>
        </is>
      </c>
    </row>
    <row r="8">
      <c r="A8" s="3" t="inlineStr">
        <is>
          <t>Vercel + Supabase</t>
        </is>
      </c>
      <c r="B8" s="4" t="n">
        <v>0</v>
      </c>
      <c r="C8" s="3" t="inlineStr">
        <is>
          <t>Free tier</t>
        </is>
      </c>
    </row>
    <row r="9">
      <c r="A9" s="3" t="inlineStr">
        <is>
          <t>Claude / IA tools</t>
        </is>
      </c>
      <c r="B9" s="5" t="n">
        <v>400</v>
      </c>
      <c r="C9" s="3" t="inlineStr">
        <is>
          <t>Suscripción mensual</t>
        </is>
      </c>
    </row>
    <row r="11">
      <c r="A11" s="6" t="inlineStr">
        <is>
          <t>TOTAL MENSUAL</t>
        </is>
      </c>
      <c r="B11" s="8">
        <f>SUM(B2:B9)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1" t="inlineStr">
        <is>
          <t>Mes 1</t>
        </is>
      </c>
      <c r="C1" s="1" t="inlineStr">
        <is>
          <t>Mes 2</t>
        </is>
      </c>
      <c r="D1" s="1" t="inlineStr">
        <is>
          <t>Mes 3</t>
        </is>
      </c>
      <c r="E1" s="1" t="inlineStr">
        <is>
          <t>Mes 4</t>
        </is>
      </c>
      <c r="F1" s="1" t="inlineStr">
        <is>
          <t>Mes 5</t>
        </is>
      </c>
      <c r="G1" s="1" t="inlineStr">
        <is>
          <t>Mes 6</t>
        </is>
      </c>
    </row>
    <row r="2">
      <c r="A2" s="2" t="inlineStr">
        <is>
          <t>── PROSPECTOS ──</t>
        </is>
      </c>
      <c r="B2" s="3" t="n"/>
      <c r="C2" s="3" t="n"/>
      <c r="D2" s="3" t="n"/>
      <c r="E2" s="3" t="n"/>
      <c r="F2" s="3" t="n"/>
      <c r="G2" s="3" t="n"/>
    </row>
    <row r="3">
      <c r="A3" s="3" t="inlineStr">
        <is>
          <t>Auditorías gratis enviadas</t>
        </is>
      </c>
      <c r="B3" s="5" t="n">
        <v>5</v>
      </c>
      <c r="C3" s="5" t="n">
        <v>8</v>
      </c>
      <c r="D3" s="5" t="n">
        <v>12</v>
      </c>
      <c r="E3" s="5" t="n">
        <v>15</v>
      </c>
      <c r="F3" s="5" t="n">
        <v>20</v>
      </c>
      <c r="G3" s="5" t="n">
        <v>25</v>
      </c>
    </row>
    <row r="4">
      <c r="A4" s="3" t="inlineStr">
        <is>
          <t>Tasa conversión a cliente</t>
        </is>
      </c>
      <c r="B4" s="9" t="n">
        <v>0.1</v>
      </c>
      <c r="C4" s="9" t="n">
        <v>0.15</v>
      </c>
      <c r="D4" s="9" t="n">
        <v>0.15</v>
      </c>
      <c r="E4" s="9" t="n">
        <v>0.2</v>
      </c>
      <c r="F4" s="9" t="n">
        <v>0.2</v>
      </c>
      <c r="G4" s="9" t="n">
        <v>0.25</v>
      </c>
    </row>
    <row r="5">
      <c r="A5" s="3" t="inlineStr">
        <is>
          <t>Clientes nuevos</t>
        </is>
      </c>
      <c r="B5" s="4">
        <f>B3*B4</f>
        <v/>
      </c>
      <c r="C5" s="4">
        <f>C3*C4</f>
        <v/>
      </c>
      <c r="D5" s="4">
        <f>D3*D4</f>
        <v/>
      </c>
      <c r="E5" s="4">
        <f>E3*E4</f>
        <v/>
      </c>
      <c r="F5" s="4">
        <f>F3*F4</f>
        <v/>
      </c>
      <c r="G5" s="4">
        <f>G3*G4</f>
        <v/>
      </c>
    </row>
    <row r="6">
      <c r="A6" s="3" t="inlineStr">
        <is>
          <t>Clientes acumulados</t>
        </is>
      </c>
      <c r="B6" s="4">
        <f>B5</f>
        <v/>
      </c>
      <c r="C6" s="4">
        <f>B6+C5</f>
        <v/>
      </c>
      <c r="D6" s="4">
        <f>C6+D5</f>
        <v/>
      </c>
      <c r="E6" s="4">
        <f>D6+E5</f>
        <v/>
      </c>
      <c r="F6" s="4">
        <f>E6+F5</f>
        <v/>
      </c>
      <c r="G6" s="4">
        <f>F6+G5</f>
        <v/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inlineStr">
        <is>
          <t>── INGRESOS POR EMBARQUE ──</t>
        </is>
      </c>
      <c r="B8" s="3" t="n"/>
      <c r="C8" s="3" t="n"/>
      <c r="D8" s="3" t="n"/>
      <c r="E8" s="3" t="n"/>
      <c r="F8" s="3" t="n"/>
      <c r="G8" s="3" t="n"/>
    </row>
    <row r="9">
      <c r="A9" s="3" t="inlineStr">
        <is>
          <t>Embarques por cliente/mes</t>
        </is>
      </c>
      <c r="B9" s="5" t="n">
        <v>2</v>
      </c>
      <c r="C9" s="5" t="n">
        <v>2</v>
      </c>
      <c r="D9" s="5" t="n">
        <v>3</v>
      </c>
      <c r="E9" s="5" t="n">
        <v>3</v>
      </c>
      <c r="F9" s="5" t="n">
        <v>4</v>
      </c>
      <c r="G9" s="5" t="n">
        <v>4</v>
      </c>
    </row>
    <row r="10">
      <c r="A10" s="3" t="inlineStr">
        <is>
          <t>Ingreso promedio/embarque (MXN)</t>
        </is>
      </c>
      <c r="B10" s="5" t="n">
        <v>5000</v>
      </c>
      <c r="C10" s="5" t="n">
        <v>5000</v>
      </c>
      <c r="D10" s="5" t="n">
        <v>6000</v>
      </c>
      <c r="E10" s="5" t="n">
        <v>6000</v>
      </c>
      <c r="F10" s="5" t="n">
        <v>7000</v>
      </c>
      <c r="G10" s="5" t="n">
        <v>7000</v>
      </c>
    </row>
    <row r="11">
      <c r="A11" s="3" t="inlineStr">
        <is>
          <t>Total embarques</t>
        </is>
      </c>
      <c r="B11" s="4">
        <f>B6*B9</f>
        <v/>
      </c>
      <c r="C11" s="4">
        <f>C6*C9</f>
        <v/>
      </c>
      <c r="D11" s="4">
        <f>D6*D9</f>
        <v/>
      </c>
      <c r="E11" s="4">
        <f>E6*E9</f>
        <v/>
      </c>
      <c r="F11" s="4">
        <f>F6*F9</f>
        <v/>
      </c>
      <c r="G11" s="4">
        <f>G6*G9</f>
        <v/>
      </c>
    </row>
    <row r="12">
      <c r="A12" s="10" t="inlineStr">
        <is>
          <t>INGRESO BRUTO</t>
        </is>
      </c>
      <c r="B12" s="11">
        <f>B11*B10</f>
        <v/>
      </c>
      <c r="C12" s="11">
        <f>C11*C10</f>
        <v/>
      </c>
      <c r="D12" s="11">
        <f>D11*D10</f>
        <v/>
      </c>
      <c r="E12" s="11">
        <f>E11*E10</f>
        <v/>
      </c>
      <c r="F12" s="11">
        <f>F11*F10</f>
        <v/>
      </c>
      <c r="G12" s="11">
        <f>G11*G10</f>
        <v/>
      </c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inlineStr">
        <is>
          <t>── COSTOS ──</t>
        </is>
      </c>
      <c r="B14" s="3" t="n"/>
      <c r="C14" s="3" t="n"/>
      <c r="D14" s="3" t="n"/>
      <c r="E14" s="3" t="n"/>
      <c r="F14" s="3" t="n"/>
      <c r="G14" s="3" t="n"/>
    </row>
    <row r="15">
      <c r="A15" s="3" t="inlineStr">
        <is>
          <t>Costo subcontratación (%)</t>
        </is>
      </c>
      <c r="B15" s="9" t="n">
        <v>0.65</v>
      </c>
      <c r="C15" s="9" t="n">
        <v>0.65</v>
      </c>
      <c r="D15" s="9" t="n">
        <v>0.6</v>
      </c>
      <c r="E15" s="9" t="n">
        <v>0.6</v>
      </c>
      <c r="F15" s="9" t="n">
        <v>0.55</v>
      </c>
      <c r="G15" s="9" t="n">
        <v>0.55</v>
      </c>
    </row>
    <row r="16">
      <c r="A16" s="3" t="inlineStr">
        <is>
          <t>Costo subcontratación ($)</t>
        </is>
      </c>
      <c r="B16" s="4">
        <f>B12*B15</f>
        <v/>
      </c>
      <c r="C16" s="4">
        <f>C12*C15</f>
        <v/>
      </c>
      <c r="D16" s="4">
        <f>D12*D15</f>
        <v/>
      </c>
      <c r="E16" s="4">
        <f>E12*E15</f>
        <v/>
      </c>
      <c r="F16" s="4">
        <f>F12*F15</f>
        <v/>
      </c>
      <c r="G16" s="4">
        <f>G12*G15</f>
        <v/>
      </c>
    </row>
    <row r="17">
      <c r="A17" s="3" t="inlineStr">
        <is>
          <t>Costos fijos mensuales</t>
        </is>
      </c>
      <c r="B17" s="5" t="n">
        <v>1640</v>
      </c>
      <c r="C17" s="5" t="n">
        <v>1640</v>
      </c>
      <c r="D17" s="5" t="n">
        <v>1640</v>
      </c>
      <c r="E17" s="5" t="n">
        <v>1640</v>
      </c>
      <c r="F17" s="5" t="n">
        <v>1640</v>
      </c>
      <c r="G17" s="5" t="n">
        <v>1640</v>
      </c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2" t="inlineStr">
        <is>
          <t>── RESULTADO ──</t>
        </is>
      </c>
      <c r="B19" s="3" t="n"/>
      <c r="C19" s="3" t="n"/>
      <c r="D19" s="3" t="n"/>
      <c r="E19" s="3" t="n"/>
      <c r="F19" s="3" t="n"/>
      <c r="G19" s="3" t="n"/>
    </row>
    <row r="20">
      <c r="A20" s="10" t="inlineStr">
        <is>
          <t>MARGEN BRUTO</t>
        </is>
      </c>
      <c r="B20" s="4">
        <f>B12-B16</f>
        <v/>
      </c>
      <c r="C20" s="4">
        <f>C12-C16</f>
        <v/>
      </c>
      <c r="D20" s="4">
        <f>D12-D16</f>
        <v/>
      </c>
      <c r="E20" s="4">
        <f>E12-E16</f>
        <v/>
      </c>
      <c r="F20" s="4">
        <f>F12-F16</f>
        <v/>
      </c>
      <c r="G20" s="4">
        <f>G12-G16</f>
        <v/>
      </c>
    </row>
    <row r="21">
      <c r="A21" s="10" t="inlineStr">
        <is>
          <t>UTILIDAD NETA</t>
        </is>
      </c>
      <c r="B21" s="11">
        <f>B20-B17</f>
        <v/>
      </c>
      <c r="C21" s="11">
        <f>C20-C17</f>
        <v/>
      </c>
      <c r="D21" s="11">
        <f>D20-D17</f>
        <v/>
      </c>
      <c r="E21" s="11">
        <f>E20-E17</f>
        <v/>
      </c>
      <c r="F21" s="11">
        <f>F20-F17</f>
        <v/>
      </c>
      <c r="G21" s="11">
        <f>G20-G17</f>
        <v/>
      </c>
    </row>
    <row r="22">
      <c r="A22" s="3" t="inlineStr">
        <is>
          <t>Margen neto %</t>
        </is>
      </c>
      <c r="B22" s="12">
        <f>IF(B12=0,0,B21/B12)</f>
        <v/>
      </c>
      <c r="C22" s="12">
        <f>IF(C12=0,0,C21/C12)</f>
        <v/>
      </c>
      <c r="D22" s="12">
        <f>IF(D12=0,0,D21/D12)</f>
        <v/>
      </c>
      <c r="E22" s="12">
        <f>IF(E12=0,0,E21/E12)</f>
        <v/>
      </c>
      <c r="F22" s="12">
        <f>IF(F12=0,0,F21/F12)</f>
        <v/>
      </c>
      <c r="G22" s="12">
        <f>IF(G12=0,0,G21/G12)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2" customWidth="1" min="1" max="1"/>
    <col width="48" customWidth="1" min="2" max="2"/>
  </cols>
  <sheetData>
    <row r="1">
      <c r="A1" s="13" t="inlineStr">
        <is>
          <t>PLAN FINANCIERO — BondiaCT Control Tower</t>
        </is>
      </c>
      <c r="B1" s="13" t="n"/>
    </row>
    <row r="2">
      <c r="A2" s="14" t="n"/>
      <c r="B2" s="14" t="n"/>
    </row>
    <row r="3">
      <c r="A3" s="15" t="inlineStr">
        <is>
          <t>MODELO DE NEGOCIO</t>
        </is>
      </c>
      <c r="B3" s="14" t="n"/>
    </row>
    <row r="4">
      <c r="A4" s="14" t="inlineStr">
        <is>
          <t>Control Tower es tu ARMA DE VENTAS, no un SaaS.</t>
        </is>
      </c>
      <c r="B4" s="14" t="n"/>
    </row>
    <row r="5">
      <c r="A5" s="14" t="inlineStr">
        <is>
          <t>El ingreso viene de freight forwarding + despacho aduanal.</t>
        </is>
      </c>
      <c r="B5" s="14" t="n"/>
    </row>
    <row r="6">
      <c r="A6" s="14" t="inlineStr">
        <is>
          <t>Control Tower demuestra tu expertise y genera leads calificados.</t>
        </is>
      </c>
      <c r="B6" s="14" t="n"/>
    </row>
    <row r="7">
      <c r="A7" s="14" t="n"/>
      <c r="B7" s="14" t="n"/>
    </row>
    <row r="8">
      <c r="A8" s="15" t="inlineStr">
        <is>
          <t>INVERSIÓN PARA ARRANCAR</t>
        </is>
      </c>
      <c r="B8" s="14" t="n"/>
    </row>
    <row r="9">
      <c r="A9" s="14" t="inlineStr">
        <is>
          <t>Inversión mínima única:</t>
        </is>
      </c>
      <c r="B9" s="16">
        <f>+'Inversión Inicial'!B22</f>
        <v/>
      </c>
    </row>
    <row r="10">
      <c r="A10" s="14" t="inlineStr">
        <is>
          <t>Costo operativo mensual:</t>
        </is>
      </c>
      <c r="B10" s="16">
        <f>+'Costos Mensuales'!B11</f>
        <v/>
      </c>
    </row>
    <row r="11">
      <c r="A11" s="14" t="n"/>
      <c r="B11" s="14" t="n"/>
    </row>
    <row r="12">
      <c r="A12" s="15" t="inlineStr">
        <is>
          <t>PUNTO DE EQUILIBRIO</t>
        </is>
      </c>
      <c r="B12" s="14" t="n"/>
    </row>
    <row r="13">
      <c r="A13" s="14" t="inlineStr">
        <is>
          <t>Con costos de ~$1,640/mes necesitas:</t>
        </is>
      </c>
      <c r="B13" s="14" t="n"/>
    </row>
    <row r="14">
      <c r="A14" s="14" t="inlineStr">
        <is>
          <t>1 embarque de $5,000 con margen 35% = $1,750</t>
        </is>
      </c>
      <c r="B14" s="14" t="n"/>
    </row>
    <row r="15">
      <c r="A15" s="14" t="inlineStr">
        <is>
          <t>Es decir: 1 CLIENTE con 1 EMBARQUE al mes.</t>
        </is>
      </c>
      <c r="B15" s="14" t="n"/>
    </row>
    <row r="16">
      <c r="A16" s="14" t="n"/>
      <c r="B16" s="14" t="n"/>
    </row>
    <row r="17">
      <c r="A17" s="15" t="inlineStr">
        <is>
          <t>ESCENARIO CONSERVADOR (6 MESES)</t>
        </is>
      </c>
      <c r="B17" s="14" t="n"/>
    </row>
    <row r="18">
      <c r="A18" s="14" t="inlineStr">
        <is>
          <t>Mes 1: 5 auditorías gratis → 0-1 cliente</t>
        </is>
      </c>
      <c r="B18" s="14" t="n"/>
    </row>
    <row r="19">
      <c r="A19" s="14" t="inlineStr">
        <is>
          <t>Mes 3: 12 auditorías → 2-3 clientes acumulados</t>
        </is>
      </c>
      <c r="B19" s="14" t="n"/>
    </row>
    <row r="20">
      <c r="A20" s="14" t="inlineStr">
        <is>
          <t>Mes 6: 25 auditorías → 6-8 clientes acumulados</t>
        </is>
      </c>
      <c r="B20" s="14" t="n"/>
    </row>
    <row r="21">
      <c r="A21" s="14" t="inlineStr">
        <is>
          <t>Ingreso mensual Mes 6: ~$50,000-100,000 MXN bruto</t>
        </is>
      </c>
      <c r="B21" s="14" t="n"/>
    </row>
    <row r="22">
      <c r="A22" s="14" t="n"/>
      <c r="B22" s="14" t="n"/>
    </row>
    <row r="23">
      <c r="A23" s="15" t="inlineStr">
        <is>
          <t>RIESGOS</t>
        </is>
      </c>
      <c r="B23" s="14" t="n"/>
    </row>
    <row r="24">
      <c r="A24" s="14" t="inlineStr">
        <is>
          <t>1. Ciclo de venta largo (PyMEs deciden lento)</t>
        </is>
      </c>
      <c r="B24" s="14" t="inlineStr">
        <is>
          <t>Mitigación: auditoría gratis rompe el hielo</t>
        </is>
      </c>
    </row>
    <row r="25">
      <c r="A25" s="14" t="inlineStr">
        <is>
          <t>2. Dependencia de subcontratistas</t>
        </is>
      </c>
      <c r="B25" s="14" t="inlineStr">
        <is>
          <t>Mitigación: múltiples proveedores, nunca 1 solo</t>
        </is>
      </c>
    </row>
    <row r="26">
      <c r="A26" s="14" t="inlineStr">
        <is>
          <t>3. Competencia con más infraestructura</t>
        </is>
      </c>
      <c r="B26" s="14" t="inlineStr">
        <is>
          <t>Mitigación: CT es tu diferenciador — nadie lo tiene</t>
        </is>
      </c>
    </row>
    <row r="27">
      <c r="A27" s="14" t="inlineStr">
        <is>
          <t>4. Cash flow negativo meses 1-2</t>
        </is>
      </c>
      <c r="B27" s="14" t="inlineStr">
        <is>
          <t>Mitigación: inversión mínima, costos casi 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2026-04-08T06:37:10Z</dcterms:created>
  <dcterms:modified xmlns:dcterms="http://purl.org/dc/terms/" xmlns:xsi="http://www.w3.org/2001/XMLSchema-instance" xsi:type="dcterms:W3CDTF">2026-04-08T06:37:10Z</dcterms:modified>
</cp:coreProperties>
</file>